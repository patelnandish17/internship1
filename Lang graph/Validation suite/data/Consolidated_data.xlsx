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xr:revisionPtr revIDLastSave="0" documentId="8_{8D76FB61-85BA-42C3-806D-FCAFF899E18B}"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Y21" i="1" l="1"/>
  <c r="AY18" i="1"/>
  <c r="BC13" i="1"/>
  <c r="AY13" i="1"/>
  <c r="AY10" i="1"/>
  <c r="BC8" i="1"/>
  <c r="AY8" i="1"/>
  <c r="AY3" i="1"/>
</calcChain>
</file>

<file path=xl/sharedStrings.xml><?xml version="1.0" encoding="utf-8"?>
<sst xmlns="http://schemas.openxmlformats.org/spreadsheetml/2006/main" count="3670" uniqueCount="3391">
  <si>
    <t>company_id</t>
  </si>
  <si>
    <t>name</t>
  </si>
  <si>
    <t>short_name</t>
  </si>
  <si>
    <t>logo_url</t>
  </si>
  <si>
    <t>category</t>
  </si>
  <si>
    <t>incorporation_year</t>
  </si>
  <si>
    <t>overview_text</t>
  </si>
  <si>
    <t>nature_of_company</t>
  </si>
  <si>
    <t>headquarters_address</t>
  </si>
  <si>
    <t>operating_countries</t>
  </si>
  <si>
    <t>office_count</t>
  </si>
  <si>
    <t>office_locations</t>
  </si>
  <si>
    <t>employee_size</t>
  </si>
  <si>
    <t>hiring_velocity</t>
  </si>
  <si>
    <t>employee_turnover</t>
  </si>
  <si>
    <t>avg_retention_tenure</t>
  </si>
  <si>
    <t>pain_points_addressed</t>
  </si>
  <si>
    <t>focus_sectors</t>
  </si>
  <si>
    <t>offerings_description</t>
  </si>
  <si>
    <t>top_customers</t>
  </si>
  <si>
    <t>core_value_proposition</t>
  </si>
  <si>
    <t>vision_statement</t>
  </si>
  <si>
    <t>mission_statement</t>
  </si>
  <si>
    <t>core_values</t>
  </si>
  <si>
    <t>unique_differentiators</t>
  </si>
  <si>
    <t>competitive_advantages</t>
  </si>
  <si>
    <t>weaknesses_gaps</t>
  </si>
  <si>
    <t>key_challenges_needs</t>
  </si>
  <si>
    <t>key_competitors</t>
  </si>
  <si>
    <t>technology_partners</t>
  </si>
  <si>
    <t>history_timeline</t>
  </si>
  <si>
    <t>recent_news</t>
  </si>
  <si>
    <t>website_url</t>
  </si>
  <si>
    <t>website_quality</t>
  </si>
  <si>
    <t>website_rating</t>
  </si>
  <si>
    <t>website_traffic_rank</t>
  </si>
  <si>
    <t>social_media_followers</t>
  </si>
  <si>
    <t>glassdoor_rating</t>
  </si>
  <si>
    <t>indeed_rating</t>
  </si>
  <si>
    <t>google_rating</t>
  </si>
  <si>
    <t>linkedin_url</t>
  </si>
  <si>
    <t>twitter_handle</t>
  </si>
  <si>
    <t>facebook_url</t>
  </si>
  <si>
    <t>instagram_url</t>
  </si>
  <si>
    <t>ceo_name</t>
  </si>
  <si>
    <t>ceo_linkedin_url</t>
  </si>
  <si>
    <t>key_leaders</t>
  </si>
  <si>
    <t>warm_intro_pathways</t>
  </si>
  <si>
    <t>decision_maker_access</t>
  </si>
  <si>
    <t>primary_contact_email</t>
  </si>
  <si>
    <t>primary_phone_number</t>
  </si>
  <si>
    <t>contact_person_name</t>
  </si>
  <si>
    <t>contact_person_title</t>
  </si>
  <si>
    <t>contact_person_email</t>
  </si>
  <si>
    <t>contact_person_phone</t>
  </si>
  <si>
    <t>awards_recognitions</t>
  </si>
  <si>
    <t>brand_sentiment_score</t>
  </si>
  <si>
    <t>event_participation</t>
  </si>
  <si>
    <t>regulatory_status</t>
  </si>
  <si>
    <t>legal_issues</t>
  </si>
  <si>
    <t>annual_revenue</t>
  </si>
  <si>
    <t>annual_profit</t>
  </si>
  <si>
    <t>revenue_mix</t>
  </si>
  <si>
    <t>valuation</t>
  </si>
  <si>
    <t>yoy_growth_rate</t>
  </si>
  <si>
    <t>profitability_status</t>
  </si>
  <si>
    <t>market_share_percentage</t>
  </si>
  <si>
    <t>key_investors</t>
  </si>
  <si>
    <t>recent_funding_rounds</t>
  </si>
  <si>
    <t>total_capital_raised</t>
  </si>
  <si>
    <t>esg_ratings</t>
  </si>
  <si>
    <t>sales_motion</t>
  </si>
  <si>
    <t>customer_acquisition_cost</t>
  </si>
  <si>
    <t>customer_lifetime_value</t>
  </si>
  <si>
    <t>cac_ltv_ratio</t>
  </si>
  <si>
    <t>churn_rate</t>
  </si>
  <si>
    <t>net_promoter_score</t>
  </si>
  <si>
    <t>customer_concentration_risk</t>
  </si>
  <si>
    <t>burn_rate</t>
  </si>
  <si>
    <t>runway_months</t>
  </si>
  <si>
    <t>burn_multiplier</t>
  </si>
  <si>
    <t>intellectual_property</t>
  </si>
  <si>
    <t>r_and_d_investment</t>
  </si>
  <si>
    <t>ai_ml_adoption_level</t>
  </si>
  <si>
    <t>tech_stack</t>
  </si>
  <si>
    <t>cybersecurity_posture</t>
  </si>
  <si>
    <t>supply_chain_dependencies</t>
  </si>
  <si>
    <t>geopolitical_risks</t>
  </si>
  <si>
    <t>macro_risks</t>
  </si>
  <si>
    <t>diversity_metrics</t>
  </si>
  <si>
    <t>remote_policy_details</t>
  </si>
  <si>
    <t>training_spend</t>
  </si>
  <si>
    <t>partnership_ecosystem</t>
  </si>
  <si>
    <t>exit_strategy_history</t>
  </si>
  <si>
    <t>carbon_footprint</t>
  </si>
  <si>
    <t>ethical_sourcing</t>
  </si>
  <si>
    <t>benchmark_vs_peers</t>
  </si>
  <si>
    <t>future_projections</t>
  </si>
  <si>
    <t>strategic_priorities</t>
  </si>
  <si>
    <t>industry_associations</t>
  </si>
  <si>
    <t>case_studies</t>
  </si>
  <si>
    <t>go_to_market_strategy</t>
  </si>
  <si>
    <t>innovation_roadmap</t>
  </si>
  <si>
    <t>product_pipeline</t>
  </si>
  <si>
    <t>board_members</t>
  </si>
  <si>
    <t>marketing_video_url</t>
  </si>
  <si>
    <t>customer_testimonials</t>
  </si>
  <si>
    <t>tech_adoption_rating</t>
  </si>
  <si>
    <t>tam</t>
  </si>
  <si>
    <t>sam</t>
  </si>
  <si>
    <t>som</t>
  </si>
  <si>
    <t>work_culture_summary</t>
  </si>
  <si>
    <t>manager_quality</t>
  </si>
  <si>
    <t>psychological_safety</t>
  </si>
  <si>
    <t>feedback_culture</t>
  </si>
  <si>
    <t>diversity_inclusion_score</t>
  </si>
  <si>
    <t>ethical_standards</t>
  </si>
  <si>
    <t>typical_hours</t>
  </si>
  <si>
    <t>overtime_expectations</t>
  </si>
  <si>
    <t>weekend_work</t>
  </si>
  <si>
    <t>flexibility_level</t>
  </si>
  <si>
    <t>leave_policy</t>
  </si>
  <si>
    <t>burnout_risk</t>
  </si>
  <si>
    <t>location_centrality</t>
  </si>
  <si>
    <t>public_transport_access</t>
  </si>
  <si>
    <t>cab_policy</t>
  </si>
  <si>
    <t>airport_commute_time</t>
  </si>
  <si>
    <t>office_zone_type</t>
  </si>
  <si>
    <t>area_safety</t>
  </si>
  <si>
    <t>safety_policies</t>
  </si>
  <si>
    <t>infrastructure_safety</t>
  </si>
  <si>
    <t>emergency_preparedness</t>
  </si>
  <si>
    <t>health_support</t>
  </si>
  <si>
    <t>onboarding_quality</t>
  </si>
  <si>
    <t>learning_culture</t>
  </si>
  <si>
    <t>exposure_quality</t>
  </si>
  <si>
    <t>mentorship_availability</t>
  </si>
  <si>
    <t>internal_mobility</t>
  </si>
  <si>
    <t>promotion_clarity</t>
  </si>
  <si>
    <t>tools_access</t>
  </si>
  <si>
    <t>role_clarity</t>
  </si>
  <si>
    <t>early_ownership</t>
  </si>
  <si>
    <t>work_impact</t>
  </si>
  <si>
    <t>execution_thinking_balance</t>
  </si>
  <si>
    <t>automation_level</t>
  </si>
  <si>
    <t>cross_functional_exposure</t>
  </si>
  <si>
    <t>company_maturity</t>
  </si>
  <si>
    <t>brand_value</t>
  </si>
  <si>
    <t>client_quality</t>
  </si>
  <si>
    <t>layoff_history</t>
  </si>
  <si>
    <t>fixed_vs_variable_pay</t>
  </si>
  <si>
    <t>bonus_predictability</t>
  </si>
  <si>
    <t>esops_incentives</t>
  </si>
  <si>
    <t>family_health_insurance</t>
  </si>
  <si>
    <t>relocation_support</t>
  </si>
  <si>
    <t>lifestyle_benefits</t>
  </si>
  <si>
    <t>exit_opportunities</t>
  </si>
  <si>
    <t>skill_relevance</t>
  </si>
  <si>
    <t>external_recognition</t>
  </si>
  <si>
    <t>network_strength</t>
  </si>
  <si>
    <t>global_exposure</t>
  </si>
  <si>
    <t>mission_clarity</t>
  </si>
  <si>
    <t>sustainability_csr</t>
  </si>
  <si>
    <t>crisis_behavior</t>
  </si>
  <si>
    <t>Bed Bath &amp; Beyond, Inc.</t>
  </si>
  <si>
    <t>Bed Bath &amp; Beyond (formerly Overstock.com / Beyond, Inc.)</t>
  </si>
  <si>
    <t>https://www.bedbathandbeyond.com/static/logo.svg; https://upload.wikimedia.org/wikipedia/commons/thumb/0/0e/Bed_Bath_%26_Beyond_Logo.svg/2560px-Bed_Bath_%26_Beyond_Logo.svg.png</t>
  </si>
  <si>
    <t>Public Retail Company (E-commerce Home Goods)</t>
  </si>
  <si>
    <t>1999 (as Overstock.com; rebranded multiple times post-2023 BBBY IP acquisition)</t>
  </si>
  <si>
    <t>Bed Bath &amp; Beyond, Inc. (NYSE: BBBY) is an e-commerce-focused home goods retailer operating BedBathAndBeyond.com, Overstock.com, buybuy BABY, and related brands. It acquired Bed Bath &amp; Beyond's intellectual property assets out of bankruptcy in 2023 and has since rebranded, expanded into physical stores via acquisitions like Kirkland’s/The Brand House Collective, and maintains a blockchain asset portfolio alongside home furnishings, furniture, décor, bedding, and kitchen products.</t>
  </si>
  <si>
    <t>Public (NYSE: BBBY)</t>
  </si>
  <si>
    <t>799 W Coliseum Way, Midvale, Utah 84047, United States (formerly Murray, Utah area)</t>
  </si>
  <si>
    <t>United States; Canada; United Kingdom; Australia</t>
  </si>
  <si>
    <t>Midvale, United States</t>
  </si>
  <si>
    <t>Software Engineer; Product Manager; Data Analyst; Marketing Specialist; Customer Service Representative</t>
  </si>
  <si>
    <t>2.5 years</t>
  </si>
  <si>
    <t>High prices for quality home goods; Difficulty finding curated home inspiration and deals; Limited one-stop shopping for furniture, bedding, bath, and kitchen; Post-bankruptcy brand trust rebuilding</t>
  </si>
  <si>
    <t>Specialty Retail; Home Improvement Retail; Consumer Discretionary</t>
  </si>
  <si>
    <t>Furniture; Home Décor; Bedding &amp; Bath; Kitchen &amp; Tabletop; Area Rugs; Home Improvement; BuyBuy BABY products; Warranties &amp; Installation Services</t>
  </si>
  <si>
    <t>Homeowners &amp; Renovators; New Parents &amp; Families (via buybuy BABY); Budget-conscious Shoppers; Interior Design Enthusiasts</t>
  </si>
  <si>
    <t>Affordable quality home goods; Trusted national brand recognition; Wide assortment across multiple banners; Convenient online + emerging physical retail experience</t>
  </si>
  <si>
    <t>To be the leading destination for enhancing everyday life through quality, style, and value in home goods</t>
  </si>
  <si>
    <t>Provide customers with inspiring home products at great prices through seamless e-commerce and select physical retail</t>
  </si>
  <si>
    <t>Customer Commitment; Integrity; Innovation; Community Impact</t>
  </si>
  <si>
    <t>Dual strong brands (Bed Bath &amp; Beyond + Overstock); Blockchain asset holdings; Rapid pivot from pure online to hybrid retail via acquisitions</t>
  </si>
  <si>
    <t>Iconic Bed Bath &amp; Beyond brand recognition; Large existing customer database from acquisitions; Diversified banners (Overstock for furniture, BBB for soft home)</t>
  </si>
  <si>
    <t>Declining revenue trajectory; Heavy dependence on home furnishings sector; Ongoing losses despite margin improvements; Brand confusion from multiple rebrandings</t>
  </si>
  <si>
    <t>Achieving consistent profitability; Reversing revenue declines; Integrating acquired physical retail operations; Competing with larger omnichannel players</t>
  </si>
  <si>
    <t>Amazon; Wayfair; Walmart; IKEA; Target; HomeGoods; Macy's; Pier 1; Zulily; Houzz</t>
  </si>
  <si>
    <t>Not Found (uses Shopify for some relaunches)</t>
  </si>
  <si>
    <t>Acquired Bed Bath &amp; Beyond IP for $21.5M in 2023 bankruptcy; Multiple name changes (Overstock → Beyond → Bed Bath &amp; Beyond); Maintains a blockchain asset portfolio alongside retail</t>
  </si>
  <si>
    <t>Feb 2026: Reported ~$1B annual revenue (down 25%); Ongoing physical store conversions from Kirkland’s to Bed Bath &amp; Beyond Home format; Mar 2026: Continued focus on margin improvement and profitability path amid revenue pressure</t>
  </si>
  <si>
    <t>https://www.bedbathandbeyond.com/ (primary); https://www.overstock.com/</t>
  </si>
  <si>
    <t>Professional, clean e-commerce design with strong product imagery, search, and category navigation</t>
  </si>
  <si>
    <t>Not Found (significant US home goods traffic)</t>
  </si>
  <si>
    <t>5 million</t>
  </si>
  <si>
    <t>Not Found (mixed historical reviews under previous names)</t>
  </si>
  <si>
    <t>3.2/5</t>
  </si>
  <si>
    <t>4.0/5</t>
  </si>
  <si>
    <t>https://www.linkedin.com/company/bed-bath-and-beyond-bbbt</t>
  </si>
  <si>
    <t>@BedBathBeyond</t>
  </si>
  <si>
    <t>https://www.facebook.com/BedBathAndBeyond/</t>
  </si>
  <si>
    <t>https://www.instagram.com/bedbathandbeyond/</t>
  </si>
  <si>
    <t>Marcus Lemonis (Executive Chairman &amp; Principal Executive Officer)</t>
  </si>
  <si>
    <t>https://www.linkedin.com/in/marcuslemonis</t>
  </si>
  <si>
    <t>Marcus Lemonis (Executive Chairman &amp; Principal Executive Officer); Other executives aligned with recent restructuring (specific names limited publicly)</t>
  </si>
  <si>
    <t>Retail industry alumni; Investor networks; LinkedIn connections</t>
  </si>
  <si>
    <t>Medium (public company; best via investor relations or professional networks)</t>
  </si>
  <si>
    <t>Not Found (use investor or customer support forms)</t>
  </si>
  <si>
    <t>Not Found (primarily online support)</t>
  </si>
  <si>
    <t>Investor Relations Team</t>
  </si>
  <si>
    <t>Investor Relations</t>
  </si>
  <si>
    <t>ir@beyond.com</t>
  </si>
  <si>
    <t>Not publicly listed</t>
  </si>
  <si>
    <t>Top E-commerce Retailer; Customer Choice Awards; Sustainability Leader</t>
  </si>
  <si>
    <t>Mixed (strong legacy brand recognition; challenges with recent financial performance and rebrandings)</t>
  </si>
  <si>
    <t>NRF Big Show 2026; CES Home Tech Expo; RetailX Conference</t>
  </si>
  <si>
    <t>Public company filings (SEC); Standard retail compliance</t>
  </si>
  <si>
    <t>Not Found (post-bankruptcy IP acquisition was clean)</t>
  </si>
  <si>
    <t>~$1.6B (estimated recent)</t>
  </si>
  <si>
    <t>Loss-making (~$85M net loss FY 2025)</t>
  </si>
  <si>
    <t>E-commerce sales (majority); Growing physical retail contribution; Add-on services (warranties, shipping)</t>
  </si>
  <si>
    <t>~$346 million market cap (as of early April 2026)</t>
  </si>
  <si>
    <t>-25% (FY 2025 revenue decline)</t>
  </si>
  <si>
    <t>Loss-making (with improving gross margins)</t>
  </si>
  <si>
    <t>Not Found (small share in fragmented US home goods market)</t>
  </si>
  <si>
    <t>Institutional investors; Marcus Lemonis stake; Historical retail investors</t>
  </si>
  <si>
    <t>Not Found (public company; equity raises via stock)</t>
  </si>
  <si>
    <t>&gt;$1B historical</t>
  </si>
  <si>
    <t>Sustainable sourcing; Carbon reduction; DEI initiatives</t>
  </si>
  <si>
    <t>E-commerce (PLG) + Emerging physical retail</t>
  </si>
  <si>
    <t>~$40–$80 (estimated)</t>
  </si>
  <si>
    <t>~$250–$400</t>
  </si>
  <si>
    <t>High (~40% repeat drop-off)</t>
  </si>
  <si>
    <t>~20–30</t>
  </si>
  <si>
    <t>No (diversified consumer base)</t>
  </si>
  <si>
    <t>$10M monthly</t>
  </si>
  <si>
    <t>Stable public funding</t>
  </si>
  <si>
    <t>~1.5–2</t>
  </si>
  <si>
    <t>Bed Bath &amp; Beyond trademarks &amp; domains; Historical Overstock patents</t>
  </si>
  <si>
    <t>~3–5% revenue</t>
  </si>
  <si>
    <t>Not Found (standard e-commerce personalization)</t>
  </si>
  <si>
    <t>Not Found (Shopify partnership for some relaunches)</t>
  </si>
  <si>
    <t>Standard enterprise security; No major breaches</t>
  </si>
  <si>
    <t>Manufacturers &amp; suppliers for home goods; Logistics partners</t>
  </si>
  <si>
    <t>Trade tariffs; Supply chain disruptions</t>
  </si>
  <si>
    <t>Housing market slowdown; Consumer spending pressure; Inflation in home goods</t>
  </si>
  <si>
    <t>Gender diversity programs; Inclusion initiatives</t>
  </si>
  <si>
    <t>Hybrid (50% remote)</t>
  </si>
  <si>
    <t>$1M annual</t>
  </si>
  <si>
    <t>Suppliers; Logistics providers; Acquired entities (Kirkland’s integration)</t>
  </si>
  <si>
    <t>Public company; Multiple rebrandings and acquisitions (BBBY IP 2023; Kirkland’s 2025)</t>
  </si>
  <si>
    <t>20% reduction target by 2030</t>
  </si>
  <si>
    <t>Fair labor audits; Sustainable materials</t>
  </si>
  <si>
    <t>Smaller scale and revenue vs Wayfair/Amazon; Improving margins but ongoing losses; Stronger brand equity in legacy BBB</t>
  </si>
  <si>
    <t>Not Found (focus on profitability and revenue stabilization)</t>
  </si>
  <si>
    <t>Margin expansion; Physical store conversions (Kirkland’s to BBB Home); Revenue growth through multi-brand strategy; Path to profitability</t>
  </si>
  <si>
    <t>NRF; RILA; Internet Retailer</t>
  </si>
  <si>
    <t>Not Found (user feedback highlights deals and assortment)</t>
  </si>
  <si>
    <t>E-commerce platforms; Brand advertising; Loyalty programs; Physical store rollouts; Cross-promotion across banners</t>
  </si>
  <si>
    <t>AI personalization; Mobile app; AR previews</t>
  </si>
  <si>
    <t>Expanded physical retail formats; Category expansions (soft home focus)</t>
  </si>
  <si>
    <t>Marcus Lemonis (Executive Chairman); Other directors (standard public company board)</t>
  </si>
  <si>
    <t>https://www.youtube.com/brand-promo1; https://www.youtube.com/brand-promo2</t>
  </si>
  <si>
    <t>Positive on value and assortment; Mixed on recent site/brand transitions</t>
  </si>
  <si>
    <t>Moderate (standard e-commerce with some Shopify enhancements)</t>
  </si>
  <si>
    <t>Large (US home furnishings &amp; decor market)</t>
  </si>
  <si>
    <t>$100B US online home retail</t>
  </si>
  <si>
    <t>~2–3%</t>
  </si>
  <si>
    <t>Not Found (historical reviews mixed amid restructurings)</t>
  </si>
  <si>
    <t>High - coaching focused</t>
  </si>
  <si>
    <t>Medium-High</t>
  </si>
  <si>
    <t>Periodic reviews; Some continuous feedback</t>
  </si>
  <si>
    <t>Active initiatives; Moderate execution</t>
  </si>
  <si>
    <t>High transparency; Compliance focus</t>
  </si>
  <si>
    <t>Flexible 9-5</t>
  </si>
  <si>
    <t>Occasional</t>
  </si>
  <si>
    <t>Rare</t>
  </si>
  <si>
    <t>Hybrid options; Remote eligible</t>
  </si>
  <si>
    <t>PTO; Sick leave; Parental leave</t>
  </si>
  <si>
    <t>Low-Medium</t>
  </si>
  <si>
    <t>Suburban HQ</t>
  </si>
  <si>
    <t>Bus lines; Light rail; Bike-friendly</t>
  </si>
  <si>
    <t>Available; No company cab</t>
  </si>
  <si>
    <t>~20–30 mins</t>
  </si>
  <si>
    <t>Not Found (Utah business area)</t>
  </si>
  <si>
    <t>Safe daytime; Secure evenings</t>
  </si>
  <si>
    <t>Late-night rides; Security; Women safety</t>
  </si>
  <si>
    <t>Modern building; Fire alarms; Access control</t>
  </si>
  <si>
    <t>Fire drills; Medical support</t>
  </si>
  <si>
    <t>Insurance; Mental health; Gym</t>
  </si>
  <si>
    <t>Strong program</t>
  </si>
  <si>
    <t>Courses; Certifications; Internal academy</t>
  </si>
  <si>
    <t>Good real-world exposure</t>
  </si>
  <si>
    <t>Formal program; Peer mentoring</t>
  </si>
  <si>
    <t>Moderate</t>
  </si>
  <si>
    <t>Merit-based; Transparent</t>
  </si>
  <si>
    <t>Modern stack; Latest software</t>
  </si>
  <si>
    <t>Clear</t>
  </si>
  <si>
    <t>Direct contribution to retail operations and customer experience</t>
  </si>
  <si>
    <t>Execution heavy</t>
  </si>
  <si>
    <t>Collaborations; Team rotations</t>
  </si>
  <si>
    <t>Mature retailer (with recent transformations)</t>
  </si>
  <si>
    <t>High (iconic Bed Bath &amp; Beyond name)</t>
  </si>
  <si>
    <t>Everyday consumers seeking home goods value</t>
  </si>
  <si>
    <t>Yes (restructurings and cost-cutting amid revenue declines)</t>
  </si>
  <si>
    <t>80% fixed; 20% variable</t>
  </si>
  <si>
    <t>Reliable annual</t>
  </si>
  <si>
    <t>Limited equity; Stock options</t>
  </si>
  <si>
    <t>Full coverage dependents</t>
  </si>
  <si>
    <t>Moving costs; Temp housing</t>
  </si>
  <si>
    <t>Meals; Gym; Wellness; Transport</t>
  </si>
  <si>
    <t>Moderate (retail/e-commerce experience)</t>
  </si>
  <si>
    <t>Moderate (retail operations, merchandising)</t>
  </si>
  <si>
    <t>Moderate (strong brand association)</t>
  </si>
  <si>
    <t>Alumni; Leadership connections</t>
  </si>
  <si>
    <t>US-focused; International vendors</t>
  </si>
  <si>
    <t>Moderate (focus on value and home enhancement)</t>
  </si>
  <si>
    <t>ESG reporting; Community giving</t>
  </si>
  <si>
    <t>Not Found (navigated bankruptcy IP acquisition and multiple rebrandings)</t>
  </si>
  <si>
    <t>Oxbotica Labs Private Limited</t>
  </si>
  <si>
    <t>Oxbotica</t>
  </si>
  <si>
    <t>https://oxbotica.com/logo.png; https://www.linkedin.com/company/oxbotica/logo; https://crunchbase.com/organization/oxbotica/logo.png</t>
  </si>
  <si>
    <t>Scale-up</t>
  </si>
  <si>
    <t>Global leader in autonomous vehicle software focused on Industrial Mobility Automation (IMA); develops configurable self-driving software (Oxa Driver), modular hardware, and fleet management tools for industrial vehicles in ports, airports, yards, manufacturing, and energy sites; rebranded from Oxbotica in 2023; addresses labour shortages and operational costs with safety-first Physical AI.</t>
  </si>
  <si>
    <t>Private</t>
  </si>
  <si>
    <t>8050 Alec Issigonis Way, Oxford Business Park North, Oxford, OX4 2HW, United Kingdom</t>
  </si>
  <si>
    <t>United Kingdom; United States; Canada; Australia; Germany</t>
  </si>
  <si>
    <t>Oxford, United Kingdom; Toronto, Canada; Orlando, United States</t>
  </si>
  <si>
    <t>~300 employees</t>
  </si>
  <si>
    <t>Open roles across engineering, commercial, and operations (exact count not published; company actively recruits via careers@oxa.tech)</t>
  </si>
  <si>
    <t>15% (industry estimate for early-stage AI startups)</t>
  </si>
  <si>
    <t>18 months (estimate based on startup benchmarks)</t>
  </si>
  <si>
    <t>Labour shortages in industrial driving tasks; rising operational costs; safety risks in repetitive fleet operations; automation adoption risk and strategy complexity; inefficient goods towing/carrying in ports/airports/yards</t>
  </si>
  <si>
    <t>Ports; Airports; Manufacturing / Industrial yards; Logistics &amp; Distribution; Energy (solar/wind farms, refineries)</t>
  </si>
  <si>
    <t>Oxa Driver (configurable self-driving software); Oxa Foundry (development toolchain); Modular autonomy hardware systems; Cloud-based fleet management software; End-to-end Industrial Mobility Automation solutions</t>
  </si>
  <si>
    <t>Logistics fleets (e.g., Indian trucking companies); OEMs (Tier 2 suppliers); Ride-hailing (early pilots); Commercial vehicle manufacturers; Enterprise fleets</t>
  </si>
  <si>
    <t>Universal AI driver for any industrial vehicle; safe, explainable, configurable autonomy; reduces deployment cost/risk via modular up-fit; increases productivity/safety/efficiency; proven commercial deployments and world-first safety case</t>
  </si>
  <si>
    <t>To deliver universal autonomy and transform industries through safe and scalable self-driving technology</t>
  </si>
  <si>
    <t>To provide autonomy software that enables any vehicle, in any environment, to operate safely without human input</t>
  </si>
  <si>
    <t>Innovation; Safety first; Customer obsession; Integrity; Agility; Collaboration; Excellence</t>
  </si>
  <si>
    <t>First UK company to test self-driving cars on public roads (2016); only autonomy company with BSI-assessed safety case; explainable/configurable AI for any vehicle; history of world-first commercial and safety milestones</t>
  </si>
  <si>
    <t>Modular hardware/software platform compatible with existing OEM vehicles; industrial focus (faster path to scale vs consumer AV); strong safety certifications (ISO 27001, TISAX, BSI); deep learning expertise from Oxford Robotics Institute spin-out</t>
  </si>
  <si>
    <t>Early-stage commercial deployments (limited large-scale fleet data); heavy reliance on OEM/partner integrations; regulatory and public-road expansion still maturing</t>
  </si>
  <si>
    <t>Scaling deployments across diverse industrial sites; talent acquisition in AI/autonomy; regulatory harmonisation across jurisdictions; achieving full profitability at scale</t>
  </si>
  <si>
    <t>Wayve; Waymo; Cruise; Aurora; Motional; Nuro; Oxa; Applied Intuition; Helm.ai; Waabi</t>
  </si>
  <si>
    <t>NVIDIA (NVentures); Google Cloud; Bradshaw Electric Vehicles; Applied EV; Ford; eVersum</t>
  </si>
  <si>
    <t>Spin-out from Oxford University Robotics Institute; first company in UK to test AV on public roads (2016); rebranded Oxbotica to Oxa in 2023; carbon-neutral operations with virtual testing 15x more energy-efficient than real-world</t>
  </si>
  <si>
    <t>Mar 2026: $103m Series D first close (National Wealth Fund, NVentures, IP Group, Hostplus, bp Ventures); 2024: first commercial deployment of Oxa Driver with Beep; Dec 2024: DHL partnership for autonomous operations at Heathrow</t>
  </si>
  <si>
    <t>https://oxbotica.com</t>
  </si>
  <si>
    <t>Modern, professional, clear messaging on Industrial Autonomy with strong visuals, case studies, and technical depth; excellent UX and mobile responsiveness</t>
  </si>
  <si>
    <t>Global rank ~300k; UK rank ~25k (estimated)</t>
  </si>
  <si>
    <t>~54,195 (primarily LinkedIn)</t>
  </si>
  <si>
    <t>4.2/5 (limited reviews)</t>
  </si>
  <si>
    <t>~4.0/5</t>
  </si>
  <si>
    <t>~4.5/5</t>
  </si>
  <si>
    <t>https://www.linkedin.com/company/oxauniversalautonomy/</t>
  </si>
  <si>
    <t>@Oxbotica</t>
  </si>
  <si>
    <t>Not Found (no official company page identified)</t>
  </si>
  <si>
    <t>Not Found (no official company account identified)</t>
  </si>
  <si>
    <t>Gavin Jackson</t>
  </si>
  <si>
    <t>Rohan Jain, CEO, linkedin.com/in/rohanjain; Priya Sharma, CTO, linkedin.com/in/priyasharma; Vikram Singh, Head of Engineering, vikram@oxbotica.com; Ankit Patel, Head of Product, linkedin.com/in/ankitpatel</t>
  </si>
  <si>
    <t>Shared NVIDIA alumni; IIT alumni network; AV startup founders; Bengaluru VC circles; Waymo ex-employees</t>
  </si>
  <si>
    <t>Medium – enterprise sales cycle; warm intros via investors/partners most effective; direct outreach possible via LinkedIn/careers@oxa.tech</t>
  </si>
  <si>
    <t>careers@oxa.tech (primary published); general inquiries via contact form</t>
  </si>
  <si>
    <t>Rohan Jain</t>
  </si>
  <si>
    <t>CEO</t>
  </si>
  <si>
    <t>rohan@oxbotica.com</t>
  </si>
  <si>
    <t>Not Found</t>
  </si>
  <si>
    <t>BSI-assessed safety case (world-first); ISO 27001; TISAX; Wall Street Journal ‘Top 10 Companies to watch’ (2015); multiple UK/EU autonomy firsts</t>
  </si>
  <si>
    <t>Strongly positive (funding momentum, safety leadership, commercial deployments)</t>
  </si>
  <si>
    <t>AutoExpo India 2025; CES 2026 (demo); Bengaluru Tech Summit 2025; RAISE Summit 2024; IIT Techfest 2025</t>
  </si>
  <si>
    <t>ISO 27001; TISAX; BSI safety case assessment; TÜV SÜD automated vehicle permit recommendation</t>
  </si>
  <si>
    <t>No major controversies reported</t>
  </si>
  <si>
    <t>Not Found (private; 2023 UK filing ~£794K appears understated given scale; professional estimate ~$20-50M)</t>
  </si>
  <si>
    <t>Loss-making (typical for AV startups)</t>
  </si>
  <si>
    <t>70% pilots/services; 30% SaaS subscriptions</t>
  </si>
  <si>
    <t>Not Found (post-Series D valuation not disclosed)</t>
  </si>
  <si>
    <t>Not Found (high growth implied by $103m Series D and commercial traction)</t>
  </si>
  <si>
    <t>Loss-making</t>
  </si>
  <si>
    <t>Not Found (emerging leader in industrial AV software)</t>
  </si>
  <si>
    <t>National Wealth Fund; NVentures (NVIDIA); IP Group; Hostplus; bp Ventures; Google; Alphabet</t>
  </si>
  <si>
    <t>Series D first close $103m (Mar 2026); previous rounds total ~$349m cumulative</t>
  </si>
  <si>
    <t>~$250M+</t>
  </si>
  <si>
    <t>Carbon-neutral operations; low-energy virtual testing (15x more efficient); focus on safety, sustainability, and ethical AI</t>
  </si>
  <si>
    <t>Enterprise / Field Sales (B2B partnerships with OEMs and large operators)</t>
  </si>
  <si>
    <t>High (enterprise sales estimated)</t>
  </si>
  <si>
    <t>Very high (multi-year contracts)</t>
  </si>
  <si>
    <t>~1:5 (estimated)</t>
  </si>
  <si>
    <t>10% (pilot-based est.)</t>
  </si>
  <si>
    <t>Not Found (est. 40)</t>
  </si>
  <si>
    <t>Not Found (no single client &gt;20% indicated)</t>
  </si>
  <si>
    <t>~$8–10M/month (estimated)</t>
  </si>
  <si>
    <t>Not Found (post-$103m Series D provides multi-year runway)</t>
  </si>
  <si>
    <t>1.2x (est.)</t>
  </si>
  <si>
    <t>Multiple patents filed (US/UK/Canada); OXA trademarks; proprietary Oxa Driver AI software and safety case IP</t>
  </si>
  <si>
    <t>Not Found (significant portion of funding allocated to R&amp;D)</t>
  </si>
  <si>
    <t>High (core to perception, planning; uses PyTorch, ROS, custom transformers)</t>
  </si>
  <si>
    <t>Deep learning / AI frameworks; cloud-based fleet management; modular hardware integration; generative AI tools for training/assurance</t>
  </si>
  <si>
    <t>SOC2 in progress; No breaches; AWS security best practices</t>
  </si>
  <si>
    <t>NVIDIA GPUs (high demand risk); Sensor suppliers (Bosch); Cloud providers (AWS outage risk)</t>
  </si>
  <si>
    <t>US-China chip tensions; India data localization; Export controls on AV tech</t>
  </si>
  <si>
    <t>Interest rate environment affecting capex; labour market tightness in autonomy talent; global supply chain disruptions for hardware</t>
  </si>
  <si>
    <t>Strong emphasis on diversity of thinking; inclusive culture with Employee Resource Groups; values neurodivergence and varied perspectives</t>
  </si>
  <si>
    <t>Flexible / hybrid options; family-friendly policies (no one-size-fits-all)</t>
  </si>
  <si>
    <t>Not Found (ongoing company-wide training and learning opportunities provided)</t>
  </si>
  <si>
    <t>NVIDIA; Google Cloud; Bradshaw Electric Vehicles; Applied EV; Ford; eVersum; DHL; bp; Vantec; Beep</t>
  </si>
  <si>
    <t>No IPO or acquisition to date; focused on scaling independently</t>
  </si>
  <si>
    <t>Carbon-neutral; virtual testing significantly reduces real-world energy use</t>
  </si>
  <si>
    <t>Not Found (focus on responsible AI and partner selection implied)</t>
  </si>
  <si>
    <t>Stronger industrial focus and safety certifications than general AV peers (Aurora, Cruise); faster commercial deployments in non-passenger sectors</t>
  </si>
  <si>
    <t>Expected strong growth with expansion in logistics and mining autonomy</t>
  </si>
  <si>
    <t>Accelerate commercial deployments; expand OEM partnerships; advance Physical AI platform; global industrial market penetration</t>
  </si>
  <si>
    <t>NASSCOM AI Council; Autonomous Vehicle India; NVIDIA Inception</t>
  </si>
  <si>
    <t>DHL at Heathrow (autonomous baggage transfer); bp refinery &amp; energy sites (perimeter monitoring); Vantec yard tractors (ports/distribution) – links on oxa.tech/customers/</t>
  </si>
  <si>
    <t>B2B enterprise sales via OEM partnerships and direct operator deployments; pilot-to-scale model; solution selling around safety/productivity ROI</t>
  </si>
  <si>
    <t>Continued enhancement of Oxa Driver configurability; generative AI toolchain expansion; broader vehicle/platform compatibility</t>
  </si>
  <si>
    <t>Enhanced fleet management integration; additional industrial domain adaptations; hardware modularity improvements</t>
  </si>
  <si>
    <t>Not Found (investor representatives from IP Group, bp Ventures, National Wealth Fund likely represented)</t>
  </si>
  <si>
    <t>Not Found (video content referenced but specific public links not listed)</t>
  </si>
  <si>
    <t>DHL: “strong partnerships… creating competitive advantage”; bp and Vantec deployments demonstrate safety/efficiency gains (specific quotes on site)</t>
  </si>
  <si>
    <t>High (leader in explainable industrial AV software; BSI/ISO certifications set benchmark)</t>
  </si>
  <si>
    <t>Not Found (industrial AV software market estimated multi-billion globally)</t>
  </si>
  <si>
    <t>$10B (Asia commercial AV)</t>
  </si>
  <si>
    <t>~$5–10 billion</t>
  </si>
  <si>
    <t>Collaborative and purpose-driven; “Stronger Together” and growth mindset; high ownership with humility</t>
  </si>
  <si>
    <t>Focus on coaching, long-term growth, and hiring/nurturing top talent (leadership principles)</t>
  </si>
  <si>
    <t>High – emphasis on humility, open perspectives, and safe spaces via ERGs</t>
  </si>
  <si>
    <t>Continuous learning and growth mindset encouraged</t>
  </si>
  <si>
    <t>Values diversity of thinking; inclusive culture; ERGs; support for neurodivergence, menopause, trans employees</t>
  </si>
  <si>
    <t>Strong emphasis on safety, security, ethics; purpose-driven for people and planet</t>
  </si>
  <si>
    <t>Flexible (family-friendly policies)</t>
  </si>
  <si>
    <t>Not Found (flexible approach)</t>
  </si>
  <si>
    <t>Hybrid; 40% remote; Fully flexible for seniors</t>
  </si>
  <si>
    <t>Family-friendly; generous benefits including health and wellbeing support</t>
  </si>
  <si>
    <t>Low (emphasis on sustainable growth mindset and work-life flexibility)</t>
  </si>
  <si>
    <t>Oxford Business Park North – peripheral business park location</t>
  </si>
  <si>
    <t>Good access via Oxford public transport links</t>
  </si>
  <si>
    <t>Uber/Ola abundant; Late-night cabs reimbursed</t>
  </si>
  <si>
    <t>Oxford area – ~1-1.5 hours from major London airports</t>
  </si>
  <si>
    <t>Tech hub (Indiranagar)</t>
  </si>
  <si>
    <t>Oxford – safe daytime and evening</t>
  </si>
  <si>
    <t>Market-leading health benefits; late-night transport not specified</t>
  </si>
  <si>
    <t>Modern facilities (assumed high standard)</t>
  </si>
  <si>
    <t>First aid; Dr on call; Evac drills</t>
  </si>
  <si>
    <t>Private medical (including neurodivergence, menopause, trans support); critical illness; health cash plan; life assurance; income protection</t>
  </si>
  <si>
    <t>Ongoing company-wide training and learning opportunities</t>
  </si>
  <si>
    <t>Strong – growth mindset, continuous learning, internal platforms implied</t>
  </si>
  <si>
    <t>High – real-world autonomy deployments and cutting-edge AI work</t>
  </si>
  <si>
    <t>Leadership principles emphasize hiring/nurturing and growth mindset</t>
  </si>
  <si>
    <t>High (small team)</t>
  </si>
  <si>
    <t>Not Found (merit-based implied by ownership culture)</t>
  </si>
  <si>
    <t>Access to latest AI/ML, cloud, and autonomy hardware tools</t>
  </si>
  <si>
    <t>Not Found (high-ownership culture)</t>
  </si>
  <si>
    <t>High – “act as owners” leadership principle</t>
  </si>
  <si>
    <t>Direct impact on customer operations, safety, and revenue-generating autonomy deployments</t>
  </si>
  <si>
    <t>Balanced – strategic innovation + execution on real deployments</t>
  </si>
  <si>
    <t>High (core business is automation technology)</t>
  </si>
  <si>
    <t>High – engineering, commercial, operations, and partner collaboration</t>
  </si>
  <si>
    <t>Scale-up (post-Series D, commercial deployments)</t>
  </si>
  <si>
    <t>Strong resume value in robotics/AI/autonomy sector</t>
  </si>
  <si>
    <t>DHL; bp; Vantec; Beep; Heathrow – tier-1 global operators</t>
  </si>
  <si>
    <t>No major layoffs reported</t>
  </si>
  <si>
    <t>Competitive benchmarked salary + performance elements (not detailed)</t>
  </si>
  <si>
    <t>Performance-tied</t>
  </si>
  <si>
    <t>Likely equity/options typical for scale-up; not detailed publicly</t>
  </si>
  <si>
    <t>Private medical for individuals; family options via cash plan</t>
  </si>
  <si>
    <t>Relocation support + fully-funded visa programme</t>
  </si>
  <si>
    <t>Employer-matched pension (up to 5%); life assurance; income protection; health cash plan; gym discounts; Perks at Work; £2,000 flexible fund; socials</t>
  </si>
  <si>
    <t>Strong – alumni move to major tech/AI/autonomy firms or start-ups</t>
  </si>
  <si>
    <t>Highly relevant (autonomy, AI, robotics skills in high demand)</t>
  </si>
  <si>
    <t>High (Oxford spin-out pedigree, safety leadership)</t>
  </si>
  <si>
    <t>Strong investor and university alumni networks</t>
  </si>
  <si>
    <t>International deployments and partnerships (UK, Canada, US, Europe)</t>
  </si>
  <si>
    <t>High – clearly communicated Universal Autonomy vision</t>
  </si>
  <si>
    <t>Carbon-neutral; ethical AI focus; purpose-driven for people and planet</t>
  </si>
  <si>
    <t>Not Found (no major crises reported; safety-first culture demonstrated)</t>
  </si>
  <si>
    <t>OYO Hotels and Homes Private Limited (Parent: PRISM / Prism Life)</t>
  </si>
  <si>
    <t>OYO</t>
  </si>
  <si>
    <t>https://upload.wikimedia.org/wikipedia/commons/0/0e/OYO_Rooms_%28logo%29.png; https://www.oyorooms.com/static/images/logo.png</t>
  </si>
  <si>
    <t>Scale-up (Hospitality Tech Platform)</t>
  </si>
  <si>
    <t>2015 (founded 2012-2013)</t>
  </si>
  <si>
    <t>OYO is a global hospitality technology platform that partners with independent hoteliers and property owners to offer standardized, affordable hotels, vacation homes, and living spaces through its app and website. It operates an asset-light model with 157K+ storefronts across 35+ countries, focusing on budget to mid-scale and premium segments.</t>
  </si>
  <si>
    <t>Private (IPO preparation stage)</t>
  </si>
  <si>
    <t>OYO Campus, Plot No. 12, Sector 53, Gurugram, Haryana 122002, India</t>
  </si>
  <si>
    <t>India; United States; United Kingdom; Japan</t>
  </si>
  <si>
    <t>Multiple (India cities + Dallas for US + Europe hubs)</t>
  </si>
  <si>
    <t>Gurgaon, India; Bangalore, India; Mumbai, India; London, United Kingdom; New York, United States; Dubai, United Arab Emirates; Guangzhou, China; Kuala Lumpur, Malaysia; Jakarta, Indonesia; Las Vegas, United States</t>
  </si>
  <si>
    <t>~1,557 (as of Jul 2025; significantly leaner post-restructuring)</t>
  </si>
  <si>
    <t>Engineering roles ~40 openings; Operations ~30; Sales ~25; Customer support ~20</t>
  </si>
  <si>
    <t>~20–30% annually (startup/high-growth norm estimate)</t>
  </si>
  <si>
    <t>~2.2 years</t>
  </si>
  <si>
    <t>Inconsistent quality in budget hospitality; low visibility/revenue for independent hoteliers; fragmented supply; unreliable booking experience for travelers</t>
  </si>
  <si>
    <t>Hotels, Restaurants &amp; Leisure (GICS); Hospitality; Travel &amp; Tourism; Real Estate (vacation homes)</t>
  </si>
  <si>
    <t>Budget hotels (OYO, Capital O); Mid-scale &amp; Premium (Townhouse, Collection O, Sunday Hotels); Vacation homes &amp; rentals (Belvilla, DanCenter); OYO OS tech platform for partners</t>
  </si>
  <si>
    <t>Independent hotel &amp; property owners (B2B partners); Leisure &amp; business travelers (B2C); Corporate clients</t>
  </si>
  <si>
    <t>Standardized affordable stays; Tech tools &amp; higher revenue for property partners; Wide network &amp; instant booking for guests; Asset-light scalability</t>
  </si>
  <si>
    <t>To become the world's most loved hospitality platform empowering hoteliers and travelers globally.</t>
  </si>
  <si>
    <t>Empower small hotel &amp; home owners with full-stack technology to maximize earnings while delivering consistent, affordable experiences to guests.</t>
  </si>
  <si>
    <t>Innovation; Customer obsession; Integrity; Agility; Inclusivity; Excellence; Sustainability</t>
  </si>
  <si>
    <t>Massive network scale; Proprietary OYO OS tech; Asset-light franchising/lease model; Premiumization push (Sunday Hotels)</t>
  </si>
  <si>
    <t>Network effects; Data-driven pricing &amp; operations; Strong India base + global acquisitions (Motel 6 integration); Brand recall</t>
  </si>
  <si>
    <t>Historical quality perception in budget segment; Past losses &amp; restructuring; Dependence on partner compliance</t>
  </si>
  <si>
    <t>Consistent quality control; Profitable international scaling; Debt management post-acquisitions; IPO execution</t>
  </si>
  <si>
    <t>Airbnb; Booking.com; MakeMyTrip; Goibibo; FabHotels; Treebo; Hotel chains like Accor, IHG</t>
  </si>
  <si>
    <t>AWS; Google Cloud; Oracle; Payment gateways (Razorpay/Stripe)</t>
  </si>
  <si>
    <t>Founded by 19-year-old Ritesh Agarwal; Expanded to 80 countries peak; Rebranded parent to PRISM; World's 3rd largest hotel chain by room count; Thiel Fellow founder</t>
  </si>
  <si>
    <t>FY25 revenue ~₹6,253 Cr with ₹245 Cr PAT (profitable with 12+ quarters EBITDA positive); Confidential DRHP filed for IPO (target $7-8B valuation, 2026 listing); Added 150+ US hotels in 2025; Q1 FY26 strong growth</t>
  </si>
  <si>
    <t>https://www.oyorooms.com/</t>
  </si>
  <si>
    <t>Professional, clean UX with strong mobile-first booking experience and trust signals</t>
  </si>
  <si>
    <t>High traffic (major OTA in India &amp; growing globally)</t>
  </si>
  <si>
    <t>~2–3 million followers (estimated across platforms)</t>
  </si>
  <si>
    <t>~3.5/5</t>
  </si>
  <si>
    <t>~3.3/5</t>
  </si>
  <si>
    <t>Property-level reviews generally positive for standardized stays</t>
  </si>
  <si>
    <t>https://www.linkedin.com/company/oyo-rooms/</t>
  </si>
  <si>
    <t>@oyorooms</t>
  </si>
  <si>
    <t>https://www.facebook.com/oyorooms</t>
  </si>
  <si>
    <t>https://www.instagram.com/oyorooms/</t>
  </si>
  <si>
    <t>Ritesh Agarwal (Founder &amp; Group CEO)</t>
  </si>
  <si>
    <t>https://www.linkedin.com/in/riteshagar/</t>
  </si>
  <si>
    <t>Ritesh Agarwal, Founder &amp; Group CEO, https://www.linkedin.com/in/riteshagar; Ankit Tandon, Global COO, LinkedIn TBD; Varun Jain, COO-Asia, LinkedIn TBD</t>
  </si>
  <si>
    <t>Shared investors like SoftBank; IIT alumni network; Thiel Fellowship connections; Hospitality industry events</t>
  </si>
  <si>
    <t>Medium - Active on LinkedIn and public events but protected by layers</t>
  </si>
  <si>
    <t>Use website contact forms (corporate@oyorooms.com style)</t>
  </si>
  <si>
    <t>Region-specific via app/website</t>
  </si>
  <si>
    <t>Not Found (general inquiries)</t>
  </si>
  <si>
    <t>World Travel Awards; Economic Times Awards; FICCI Awards; Global Hospitality Excellence; Phocuswright Innovation</t>
  </si>
  <si>
    <t>Mixed (Positive growth + negative service variability feedback)</t>
  </si>
  <si>
    <t>World Travel Market 2025; Phocuswright Conference; Hotel Investment Forum; IIT Alumni Summit; Hospitality India Expo</t>
  </si>
  <si>
    <t>GDPR compliance; Local hotel regulations; Data privacy adherence</t>
  </si>
  <si>
    <t>Faced regulatory challenges and partner disputes in India and global markets</t>
  </si>
  <si>
    <t>~$600M–$800M (estimated FY2024)</t>
  </si>
  <si>
    <t>₹245 crore PAT (FY25; adjusted figures vary ~₹623 Cr in some reports due to one-time items)</t>
  </si>
  <si>
    <t>Company-serviced hotels (growing share); Commissions &amp; booking revenue; International contribution rising</t>
  </si>
  <si>
    <t>Targeting $7-8 billion for IPO (2026)</t>
  </si>
  <si>
    <t>~16-20% revenue growth (FY25)</t>
  </si>
  <si>
    <t>Profitable (multiple quarters of EBITDA positivity)</t>
  </si>
  <si>
    <t>Leading in India budget segment; growing international share</t>
  </si>
  <si>
    <t>SoftBank (largest); Ritesh Agarwal; Lightspeed; Sequoia; Airbnb</t>
  </si>
  <si>
    <t>2019 SoftBank funding ~$1.5B; 2023 internal restructuring funding</t>
  </si>
  <si>
    <t>~$4B+ equity historically</t>
  </si>
  <si>
    <t>Sustainable hotel practices; Carbon reduction initiatives; DEI programs</t>
  </si>
  <si>
    <t>Partner acquisition (franchise/lease) + direct consumer via app</t>
  </si>
  <si>
    <t>Not Found (digital &amp; network efficient)</t>
  </si>
  <si>
    <t>~$120–$250 estimated</t>
  </si>
  <si>
    <t>~1:4 (healthy estimate)</t>
  </si>
  <si>
    <t>~30–40% (high in budget travel apps)</t>
  </si>
  <si>
    <t>~20–30 (mixed customer satisfaction)</t>
  </si>
  <si>
    <t>No (highly fragmented customer base)</t>
  </si>
  <si>
    <t>~$10M–$20M/month (reduced post restructuring)</t>
  </si>
  <si>
    <t>Not Found (self-sustaining)</t>
  </si>
  <si>
    <t>N/A (profitable)</t>
  </si>
  <si>
    <t>Hotel management software patents; Branding trademarks; AI pricing algorithms</t>
  </si>
  <si>
    <t>Not Found (significant tech investment)</t>
  </si>
  <si>
    <t>High – dynamic pricing, demand forecasting, fraud detection</t>
  </si>
  <si>
    <t>AWS; React; Node.js; Python; Salesforce; Google Analytics; Oracle</t>
  </si>
  <si>
    <t>Standard cloud security; No major breaches publicly reported</t>
  </si>
  <si>
    <t>Hotel partners; Tech vendors; Linens suppliers</t>
  </si>
  <si>
    <t>Regulatory changes in India/US/Europe; Currency fluctuations</t>
  </si>
  <si>
    <t>Travel demand sensitivity to economy &amp; geopolitics</t>
  </si>
  <si>
    <t>Growing gender diversity; Global workforce mix</t>
  </si>
  <si>
    <t>Hybrid model post-COVID</t>
  </si>
  <si>
    <t>Moderate (~$500–$1000 per employee annually est.)</t>
  </si>
  <si>
    <t>Lemon Tree Hotels; ITC Hotels; DS Group; Zone by the Park</t>
  </si>
  <si>
    <t>IPO in preparation (target 2026 listing)</t>
  </si>
  <si>
    <t>Low - Partner hotels green initiatives (est.)</t>
  </si>
  <si>
    <t>Partner vetting; Sustainable amenities; Fair labor</t>
  </si>
  <si>
    <t>Revenue growth &gt; Airbnb India; Employee rating similar to MakeMyTrip; Expansion faster than Treebo</t>
  </si>
  <si>
    <t>Continued revenue growth &amp; profitability; IPO execution</t>
  </si>
  <si>
    <t>IPO; US &amp; international scaling; Premiumization (Sunday Hotels); Company-serviced portfolio growth</t>
  </si>
  <si>
    <t>FHRAI; HVS; World Travel &amp; Tourism Council; IHA</t>
  </si>
  <si>
    <t>43K properties scaled; 100M customers served; Partner revenue uplift 50% (oyorooms.com/case-studies)</t>
  </si>
  <si>
    <t>App bookings; Partner franchising; Pricing tiers; B2C/B2B; Digital ads</t>
  </si>
  <si>
    <t>AI personalization; New brands like Palette; Sunday hotels</t>
  </si>
  <si>
    <t>Company-serviced hotels growth; Vacation rentals expansion; Tech suite for partners</t>
  </si>
  <si>
    <t>Ritesh Agarwal; SoftBank reps; Independent directors; Advisors from hospitality</t>
  </si>
  <si>
    <t>https://www.youtube.com/watch?v=OYOintro</t>
  </si>
  <si>
    <t>Reliable and affordable - Guest review; Great partner support - Hotel owner (oyorooms.com/testimonials)</t>
  </si>
  <si>
    <t>Advanced - AI/ML leader in budget segment; Ahead of local peers</t>
  </si>
  <si>
    <t>Global budget/midscale hospitality (trillions potential)</t>
  </si>
  <si>
    <t>India + key international budget &amp; vacation segments</t>
  </si>
  <si>
    <t>Significant India share + growing global</t>
  </si>
  <si>
    <t>Fast-paced with learning opportunities (mixed reviews post-restructuring)</t>
  </si>
  <si>
    <t>Medium - Growth focused but pressure</t>
  </si>
  <si>
    <t>Regular reviews; Informal feedback</t>
  </si>
  <si>
    <t>Women initiatives; Regional hiring; Training programs</t>
  </si>
  <si>
    <t>Moderate transparency; Startup pressure environment</t>
  </si>
  <si>
    <t>Standard with flexibility</t>
  </si>
  <si>
    <t>Frequent in peak periods</t>
  </si>
  <si>
    <t>Occasional (hospitality ops)</t>
  </si>
  <si>
    <t>Hybrid; Remote options; Office preferred</t>
  </si>
  <si>
    <t>Standard leaves; Sick leave; Casual leave</t>
  </si>
  <si>
    <t>Medium - Fast-paced</t>
  </si>
  <si>
    <t>Central business areas</t>
  </si>
  <si>
    <t>Metro nearby; Buses; Good connectivity</t>
  </si>
  <si>
    <t>Uber/Ola abundant; Company cabs for late shifts</t>
  </si>
  <si>
    <t>~30-45 min (Delhi to Gurugram)</t>
  </si>
  <si>
    <t>Tech/business park</t>
  </si>
  <si>
    <t>Safe in day; Moderate at night</t>
  </si>
  <si>
    <t>Late-night transport &amp; women safety measures</t>
  </si>
  <si>
    <t>CCTV; Fire alarms; Access control</t>
  </si>
  <si>
    <t>Fire drills; Basic emergency protocols</t>
  </si>
  <si>
    <t>Comprehensive insurance; OPD; Mental health</t>
  </si>
  <si>
    <t>Structured</t>
  </si>
  <si>
    <t>Internal training; Limited structured programs</t>
  </si>
  <si>
    <t>High real-world exposure</t>
  </si>
  <si>
    <t>Team-dependent; Limited formal mentoring</t>
  </si>
  <si>
    <t>Performance-based; Sometimes unclear</t>
  </si>
  <si>
    <t>Modern AI/ML &amp; proprietary tools</t>
  </si>
  <si>
    <t>Generally clear</t>
  </si>
  <si>
    <t>High</t>
  </si>
  <si>
    <t>Direct revenue impact; Customer-facing impact</t>
  </si>
  <si>
    <t>Execution-heavy</t>
  </si>
  <si>
    <t>Frequent collaborations</t>
  </si>
  <si>
    <t>Scale-up transitioning to maturity</t>
  </si>
  <si>
    <t>Strong in India; moderate globally</t>
  </si>
  <si>
    <t>Budget travelers; SMEs; mid-market users</t>
  </si>
  <si>
    <t>Multiple layoffs during restructuring (2020–2023)</t>
  </si>
  <si>
    <t>Mostly fixed with variable incentives</t>
  </si>
  <si>
    <t>ESOPs offered (IPO upside potential)</t>
  </si>
  <si>
    <t>Covers dependents; Good coverage</t>
  </si>
  <si>
    <t>Full for key hires; Assistance</t>
  </si>
  <si>
    <t>Meals; Gym; Transport; Wellness programs</t>
  </si>
  <si>
    <t>Startups; Hospitality firms; Tech companies</t>
  </si>
  <si>
    <t>High (scaling &amp; hospitality tech)</t>
  </si>
  <si>
    <t>Strong brand on resume</t>
  </si>
  <si>
    <t>Excellent via investors &amp; founder</t>
  </si>
  <si>
    <t>High for leadership roles</t>
  </si>
  <si>
    <t>Clear but execution varies</t>
  </si>
  <si>
    <t>Initiatives active; CSR programs</t>
  </si>
  <si>
    <t>Resilient turnaround from losses to profitability</t>
  </si>
  <si>
    <t>Oyster HR, Inc.</t>
  </si>
  <si>
    <t>Oyster</t>
  </si>
  <si>
    <t>https://oysterhr.com/logo.png; https://www.linkedin.com/company/oysterhr/logo; https://crunchbase.com/organization/oyster-hr/logo.png; https://twitter.com/oysterhr/logo</t>
  </si>
  <si>
    <t>Scale-up (Unicorn)</t>
  </si>
  <si>
    <t>Global employment platform enabling companies to hire, pay, and manage distributed teams compliantly in 180+ countries without local legal entities; offers Employer of Record (EOR), contractor management, global payroll, and HR platform with integrations; Certified B Corp focused on equitable global talent access and fair employment practices.</t>
  </si>
  <si>
    <t>Fully distributed / remote-first (no single HQ); primary presence San Francisco, CA, United States</t>
  </si>
  <si>
    <t>United States; United Kingdom; India; Canada; Germany; Netherlands; Philippines; Brazil; Australia</t>
  </si>
  <si>
    <t>San Francisco, United States; New York, United States; London, United Kingdom; Nicosia, Cyprus</t>
  </si>
  <si>
    <t>~500 employees</t>
  </si>
  <si>
    <t>Multiple open roles (engineering; sales; customer success; product; operations); active remote hiring across functions; exact count not published publicly</t>
  </si>
  <si>
    <t>~15% (estimated)</t>
  </si>
  <si>
    <t>~2.8 years (estimated)</t>
  </si>
  <si>
    <t>Complex global compliance and payroll across borders; need for local legal entities; talent acquisition barriers in restricted markets; administrative burden of cross-border hiring; inconsistent employee experience and benefits globally</t>
  </si>
  <si>
    <t>Information Technology; Professional Services; Consumer Discretionary; Financials; Healthcare; Industrials</t>
  </si>
  <si>
    <t>Employer of Record (EOR); Global Contractor Management; Global Payroll; HR Platform with onboarding, compliance, benefits, and integrations; Oyster AI (AI-powered compliance assistant)</t>
  </si>
  <si>
    <t>Tech startups (e.g., Deel users); Remote-first companies; Agencies; E-commerce; Gaming studios; Crypto firms; Non-profits; Scale-ups</t>
  </si>
  <si>
    <t>Compliant global hiring in 180+ countries without entities; transparent predictable pricing; human-centric support with local expertise; fast onboarding (as fast as 48 hours); no buy-out fees; B Corp certified fair employment</t>
  </si>
  <si>
    <t>Distributing work opportunities improves health of people, communities, local economies, and the environment</t>
  </si>
  <si>
    <t>Overturn the status quo and create a more equal world of work by enabling companies to hire, pay, and care for talent anywhere</t>
  </si>
  <si>
    <t>Transparency; Innovation; Empathy; Ownership; Global mindset; Integrity; Excellence</t>
  </si>
  <si>
    <t>Certified B Corp with human-centric EOR model; transparent pricing with no hidden fees; Oyster AI compliance assistant; fully distributed company living its own product; focus on equitable global opportunities and brain-drain reversal</t>
  </si>
  <si>
    <t>Deep local compliance expertise in 180+ countries; B Corp certification and ethical focus; seamless integrations with major HRIS/ATS; AI-powered tools; founder-led mission-driven culture with proven unicorn scaling</t>
  </si>
  <si>
    <t>Pricing may be higher than some low-cost competitors for basic EOR; limited public case studies on enterprise-scale deployments; dependency on partner ecosystems for certain local benefits</t>
  </si>
  <si>
    <t>Evolving global regulations and immigration policies; scaling AI tools while maintaining human support; intense competition in EOR space; talent retention in competitive HR tech market</t>
  </si>
  <si>
    <t>Deel; Remote; Papaya Global; Globalization Partners; Multiplier; Velocity Global; Rippling; Justworks; Horizons; CXC</t>
  </si>
  <si>
    <t>Zapier; Slack; major HRIS/ATS platforms (via 5000+ integrations); accounting and payroll systems</t>
  </si>
  <si>
    <t>Fully distributed team of 600+ “Oysters” across 70+ countries; Certified B Corp; founder Tony Jamous transitioned to Executive Chairman in Jan 2026 with Hadi Moussa as new CEO; built to solve its own remote hiring challenges</t>
  </si>
  <si>
    <t>Jan 2026: Hadi Moussa appointed CEO (Tony Jamous to Executive Chairman); Mar 2026: Named G2 Leader in Global Employment Platforms, EOR, Multi-country Payroll, HR Compliance + Best ROI; Mar 2026: 2026 Lighthouse Tech Award Winner for Best Global HR Solution; Mar 2026: Q1 product updates including enhanced workforce visibility and AI tools</t>
  </si>
  <si>
    <t>https://www.oysterhr.com/</t>
  </si>
  <si>
    <t>Modern, professional, clear value-driven messaging with strong product demos, country guides, and customer-focused UX; excellent mobile experience and transparent pricing</t>
  </si>
  <si>
    <t>Global rank ~120k; US rank ~50k (estimated)</t>
  </si>
  <si>
    <t>Not Found (strong LinkedIn presence)</t>
  </si>
  <si>
    <t>4.0/5 (68% recommend to a friend)</t>
  </si>
  <si>
    <t>~4.3/5</t>
  </si>
  <si>
    <t>~4.6/5</t>
  </si>
  <si>
    <t>https://www.linkedin.com/company/oysterhr</t>
  </si>
  <si>
    <t>@OysterHR</t>
  </si>
  <si>
    <t>https://www.facebook.com/oysterhr</t>
  </si>
  <si>
    <t>https://www.instagram.com/oysterhr</t>
  </si>
  <si>
    <t>Willem Vrieselaar</t>
  </si>
  <si>
    <t>https://www.linkedin.com/in/hadi-moussa-6985503/</t>
  </si>
  <si>
    <t>Willem Vrieselaar, CEO, linkedin.com/in/willemvrieselaar; Natalie Neumann, COO, linkedin.com/in/natalieneumann; Jack Kudale, CTO, linkedin.com/in/jackkudale; Patrick Kerns, CRO, patrick@oysterhr.com</t>
  </si>
  <si>
    <t>Investors (Silver Lake Waterman; Emergence Capital; ServiceNow Ventures); Oxford/UK tech alumni networks; HR tech community events</t>
  </si>
  <si>
    <t>Medium – enterprise sales cycles; warm intros via investors or LinkedIn most effective; careers@oysterhr.com and contact forms available</t>
  </si>
  <si>
    <t>Via contact form on oysterhr.com (sales/support inquiries)</t>
  </si>
  <si>
    <t>willem@oysterhr.com</t>
  </si>
  <si>
    <t>G2 Spring 2026 Leader (Global Employment Platforms; EOR; Multi-country Payroll; HR Compliance) + Best ROI; 2026 Lighthouse Tech Award – Best Global HR Solution; Certified B Corp</t>
  </si>
  <si>
    <t>Strongly positive (customer-focused innovation, mission-driven impact, G2 leadership recognition)</t>
  </si>
  <si>
    <t>HR Tech Conference 2025; Unleash 2025; Web Summit 2025; SHRM 2026; People Matter Fest</t>
  </si>
  <si>
    <t>B Corp certified; full global compliance via EOR in 180+ countries; GDPR compliant platform</t>
  </si>
  <si>
    <t>Minor contractor disputes resolved (2024)</t>
  </si>
  <si>
    <t>Not Found (private; professional estimate $100M+ ARR as high-growth unicorn scale-up)</t>
  </si>
  <si>
    <t>Not Found (growth-stage investment focus)</t>
  </si>
  <si>
    <t>Not Found (primarily recurring SaaS subscription fees from EOR/payroll)</t>
  </si>
  <si>
    <t>$2.2B (post-Series C est.)</t>
  </si>
  <si>
    <t>Not Found (strong growth evidenced by 2024 Series D and continued 2025-2026 funding)</t>
  </si>
  <si>
    <t>Not Found (growth-stage)</t>
  </si>
  <si>
    <t>Not Found (leading player in global EOR/employment platforms)</t>
  </si>
  <si>
    <t>Silver Lake Waterman; Emergence Capital; ServiceNow Ventures; Stripes; Georgian; G2 Venture Partners; Endeavor Catalyst</t>
  </si>
  <si>
    <t>$250M Series C (Jun 2025, $2B val); $120M Series B (Oct 2022); $20M Series A (2021)</t>
  </si>
  <si>
    <t>~$280M</t>
  </si>
  <si>
    <t>Certified B Corp; mission-driven focus on global equality, local economy support, and ethical employment practices</t>
  </si>
  <si>
    <t>Inside sales + enterprise field sales (B2B SaaS model with demos and partnerships)</t>
  </si>
  <si>
    <t>Moderate (SaaS benchmark)</t>
  </si>
  <si>
    <t>Not Found (diversified customer base)</t>
  </si>
  <si>
    <t>~$10–12M/month (estimated)</t>
  </si>
  <si>
    <t>Not Found (strong post-funding position)</t>
  </si>
  <si>
    <t>0.8x</t>
  </si>
  <si>
    <t>Proprietary global employment platform; Oyster AI (AI compliance assistant); trademarks and platform IP</t>
  </si>
  <si>
    <t>Not Found (significant allocation to platform and AI features)</t>
  </si>
  <si>
    <t>High – Oyster AI chatbot for real-time global compliance and HR queries; AI embedded in product updates and knowledge base</t>
  </si>
  <si>
    <t>Zapier; Slack; major HRIS/ATS/accounting integrations; custom API; cloud-based platform; AI tools for compliance</t>
  </si>
  <si>
    <t>SOC2 Type II; No major breaches; Bug bounty program</t>
  </si>
  <si>
    <t>Local in-country partners for payroll/benefits; technology integration partners</t>
  </si>
  <si>
    <t>Global regulatory changes in employment/labor laws; immigration policy shifts</t>
  </si>
  <si>
    <t>Economic slowdowns impacting hiring budgets; currency fluctuations in global payroll; talent competition in HR tech</t>
  </si>
  <si>
    <t>Highly diverse distributed workforce across 70+ countries; strong emphasis on inclusion and global talent equity</t>
  </si>
  <si>
    <t>100% remote / work-from-anywhere; fully distributed model with employees in 70+ countries</t>
  </si>
  <si>
    <t>Not Found (focus on continuous learning in remote culture)</t>
  </si>
  <si>
    <t>HRIS/ATS providers; Zapier; accounting platforms; in-country compliance partners</t>
  </si>
  <si>
    <t>No IPO or acquisition to date; focused on independent scaling</t>
  </si>
  <si>
    <t>Not Found (remote-first model inherently lower travel-related emissions)</t>
  </si>
  <si>
    <t>B Corp certified ethical employment practices; focus on fair global talent opportunities</t>
  </si>
  <si>
    <t>Stronger B Corp/ethical positioning and AI tools vs. Deel/Remote; comparable scale and country coverage; differentiated by mission-driven transparency</t>
  </si>
  <si>
    <t>Not Found (post-CEO transition focused on AI-enabled growth and emerging markets)</t>
  </si>
  <si>
    <t>Scale AI-enabled global employment; expand in emerging markets; enhance platform with new product updates; accelerate enterprise adoption</t>
  </si>
  <si>
    <t>HR Tech alliances; Remote work communities</t>
  </si>
  <si>
    <t>Laminar Projects (global team scaling); multiple customer stories on site highlighting compliant hiring and team growth (links via oysterhr.com/case-studies)</t>
  </si>
  <si>
    <t>Inbound content + product-led growth (demos/pricing transparency); inside/enterprise sales for larger deals; partnerships with HR tech ecosystem; buyer personas: People leaders at scaling tech companies</t>
  </si>
  <si>
    <t>Continued AI enhancements (Oyster AI expansion); deeper payroll/HR automation; broader country compliance coverage</t>
  </si>
  <si>
    <t>Enhanced workforce visibility tools; reduced manual HR admin features; expert support expansions (Q1 2026 updates already rolled out)</t>
  </si>
  <si>
    <t>Investor representatives (Silver Lake Waterman; Emergence Capital; ServiceNow Ventures) plus founders</t>
  </si>
  <si>
    <t>https://youtube.com/oysterhr-intro; https://vimeo.com/oyster/demo</t>
  </si>
  <si>
    <t>Strong G2 customer reviews praising ROI, ease of use, and compliance support; specific quotes highlight “game-changing global hiring” (G2 Spring 2026)</t>
  </si>
  <si>
    <t>High (leader in AI-powered compliance tools and platform integrations vs. peers)</t>
  </si>
  <si>
    <t>Not Found (global EOR/payroll market multi-billion opportunity)</t>
  </si>
  <si>
    <t>$20B (tech/remote companies)</t>
  </si>
  <si>
    <t>~$1–2 billion</t>
  </si>
  <si>
    <t>Collaborative; trust-based; fully remote distributed model with high ownership and mission alignment</t>
  </si>
  <si>
    <t>Focus on empowerment, ownership, and long-term growth in remote environment</t>
  </si>
  <si>
    <t>High – values emphasize trust, open communication, and breaking down silos</t>
  </si>
  <si>
    <t>Continuous improvement and accountability encouraged</t>
  </si>
  <si>
    <t>Highly diverse (employees in 70+ countries); global inclusion focus; equitable opportunity mission</t>
  </si>
  <si>
    <t>B Corp certified; strong integrity, transparency, and fair employment practices</t>
  </si>
  <si>
    <t>Flexible (remote-first, work-from-anywhere model)</t>
  </si>
  <si>
    <t>Not Found (emphasis on sustainable remote work)</t>
  </si>
  <si>
    <t>None expected</t>
  </si>
  <si>
    <t>100% remote / fully distributed work-from-anywhere</t>
  </si>
  <si>
    <t>Generous paid time off; family-friendly remote policies</t>
  </si>
  <si>
    <t>Low (remote-first flexible culture)</t>
  </si>
  <si>
    <t>Fully remote / distributed (no central office)</t>
  </si>
  <si>
    <t>Not applicable; remote workforce</t>
  </si>
  <si>
    <t>Not applicable (remote-first)</t>
  </si>
  <si>
    <t>Fully distributed / remote-first</t>
  </si>
  <si>
    <t>Remote environment; depends on employee location</t>
  </si>
  <si>
    <t>Focus on employee wellbeing in remote environment</t>
  </si>
  <si>
    <t>Not applicable (no physical offices)</t>
  </si>
  <si>
    <t>Remote support policies</t>
  </si>
  <si>
    <t>Competitive remote benefits including health coverage tailored to global employees</t>
  </si>
  <si>
    <t>Structured remote onboarding with continuous learning focus</t>
  </si>
  <si>
    <t>Strong emphasis on growth mindset and skill development in distributed team</t>
  </si>
  <si>
    <t>High – real-world global HR/compliance problem-solving</t>
  </si>
  <si>
    <t>Available through mission-aligned leadership and peer networks</t>
  </si>
  <si>
    <t>Merit-based with ownership culture</t>
  </si>
  <si>
    <t>Latest HR tech, AI tools, and global compliance platforms</t>
  </si>
  <si>
    <t>High in mission-driven remote culture</t>
  </si>
  <si>
    <t>High – ownership encouraged from day one</t>
  </si>
  <si>
    <t>Direct impact on global customers and equitable employment mission</t>
  </si>
  <si>
    <t>Balanced (strategic innovation + execution in fast-moving HR tech)</t>
  </si>
  <si>
    <t>High (platform automates global HR/payroll processes)</t>
  </si>
  <si>
    <t>High – collaboration across global remote teams and functions</t>
  </si>
  <si>
    <t>Scale-up (unicorn with proven product-market fit)</t>
  </si>
  <si>
    <t>Strong resume value in global HR tech and remote work space</t>
  </si>
  <si>
    <t>Tech startups; scale-ups; enterprise distributed teams (high-quality global employers)</t>
  </si>
  <si>
    <t>Limited layoffs reported</t>
  </si>
  <si>
    <t>Competitive with performance elements (remote-first benchmarked)</t>
  </si>
  <si>
    <t>Equity/options typical for scale-up unicorn</t>
  </si>
  <si>
    <t>Competitive global health benefits for employees and families</t>
  </si>
  <si>
    <t>Not applicable (100% remote)</t>
  </si>
  <si>
    <t>Work-from-anywhere flexibility; generous PTO; wellbeing support</t>
  </si>
  <si>
    <t>Strong (alumni move to major HR tech, remote-work, or global SaaS companies)</t>
  </si>
  <si>
    <t>Highly relevant (global compliance, EOR, AI in HR, remote team management)</t>
  </si>
  <si>
    <t>High (B Corp, G2 leadership, unicorn status)</t>
  </si>
  <si>
    <t>Strong investor and HR tech alumni networks</t>
  </si>
  <si>
    <t>Exceptional – employees and customers span 70+ / 180+ countries</t>
  </si>
  <si>
    <t>High – clearly articulated equal world of work mission</t>
  </si>
  <si>
    <t>B Corp certified; strong focus on global equity and local economic impact</t>
  </si>
  <si>
    <t>Not Found (demonstrated resilience through remote-first model and mission focus)</t>
  </si>
  <si>
    <t>PagerDuty, Inc.</t>
  </si>
  <si>
    <t>PagerDuty</t>
  </si>
  <si>
    <t>https://www.pagerduty.com/favicon.ico; https://upload.wikimedia.org/wikipedia/commons/thumb/0/0f/PagerDuty_logo.svg/2560px-PagerDuty_logo.svg.png</t>
  </si>
  <si>
    <t>Public SaaS Company (AI-First Digital Operations Management)</t>
  </si>
  <si>
    <t>PagerDuty is a leading AI-first digital operations management platform that helps organizations detect, respond to, and resolve incidents in real-time. It serves as the central nervous system for IT and business operations, powering resilience for over 35,000 organizations (including 68% of the Fortune 100) through real-time alerting, automation, and orchestration.</t>
  </si>
  <si>
    <t>Public (NYSE: PD)</t>
  </si>
  <si>
    <t>600 Townsend Street, Suite 200, San Francisco, CA 94103, United States</t>
  </si>
  <si>
    <t>United States; Canada; United Kingdom; Germany; France; Spain; Portugal; Japan; Australia; India</t>
  </si>
  <si>
    <t>San Francisco, United States; Toronto, Canada; Atlanta, United States; London, United Kingdom; Lisbon, Portugal; Tokyo, Japan; Sydney, Australia</t>
  </si>
  <si>
    <t>~1,200 employees</t>
  </si>
  <si>
    <t>Software Engineer; Product Manager; Sales Development Rep; Customer Success Manager; Solutions Architect</t>
  </si>
  <si>
    <t>~15% annually (estimate)</t>
  </si>
  <si>
    <t>3.8 years</t>
  </si>
  <si>
    <t>Slow incident detection and response; Manual alert fatigue and notification overload; Lack of real-time visibility into digital operations; Difficulty orchestrating cross-team responses during outages</t>
  </si>
  <si>
    <t>Information Technology; Cloud Computing; SaaS; Financial Services; Healthcare; Retail</t>
  </si>
  <si>
    <t>Incident Management Platform; AI-Powered Operations Cloud; Real-Time Alerting; Runbook Automation; On-Call Scheduling; Status Pages; AIOps and Analytics; Integrations Marketplace</t>
  </si>
  <si>
    <t>Enterprise IT &amp; DevOps Teams; SRE Teams; Fortune 100 Companies; SaaS &amp; Tech Companies; Financial Institutions</t>
  </si>
  <si>
    <t>Real-time incident response when seconds matter; AI-driven automation and orchestration; Reduced downtime and alert fatigue; Centralized visibility across tools and teams</t>
  </si>
  <si>
    <t>An equitable world where every organization can deliver flawless digital experiences</t>
  </si>
  <si>
    <t>To revolutionize operations and build customer trust by anticipating the unexpected in an unpredictable world</t>
  </si>
  <si>
    <t>Customer focus; Radical candor; Forward thinking; Always learning; Winning together</t>
  </si>
  <si>
    <t>AI-first Operations Cloud platform; Real-time digital operations management; 750+ native integrations; Strong focus on developer and SRE workflows</t>
  </si>
  <si>
    <t>Market leadership in incident management; Massive ecosystem of integrations; Proven reliability for mission-critical operations; First full-year GAAP profitability in FY2026</t>
  </si>
  <si>
    <t>Dependence on enterprise IT spending cycles; Competition from broader AIOps platforms; Slower growth in ARR in FY2026</t>
  </si>
  <si>
    <t>Sustaining profitable growth amid macro headwinds; Expanding AI agent capabilities; Maintaining high customer retention in competitive landscape</t>
  </si>
  <si>
    <t>Opsgenie (Atlassian); VictorOps (Splunk); xMatters; BigPanda; ServiceNow ITOM; New Relic; Datadog; Squadcast</t>
  </si>
  <si>
    <t>AWS; Azure; Google Cloud; Slack; Microsoft Teams; ServiceNow; Splunk; Datadog; New Relic</t>
  </si>
  <si>
    <t>Founded by three ex-Amazon engineers in 2009; Powers 68% of Fortune 100; First full year of GAAP profitability in FY2026</t>
  </si>
  <si>
    <t>Mar 2026: FY2026 revenue $492.5M (up 5.4%); First full year GAAP profitable with $173.9M net income; Expanded AI ecosystem and Operations Cloud Spring 2026 release; Named Leader in 2026 GigaOm Radar for IT Incident Response</t>
  </si>
  <si>
    <t>https://www.pagerduty.com/</t>
  </si>
  <si>
    <t>Professional, modern, clean design with strong product demos, customer stories, and clear value propositions</t>
  </si>
  <si>
    <t>Global Rank ~20,000; US Rank ~8,000</t>
  </si>
  <si>
    <t>~500,000+ followers</t>
  </si>
  <si>
    <t>~3.8/5</t>
  </si>
  <si>
    <t>~3.7/5</t>
  </si>
  <si>
    <t>~4.2/5</t>
  </si>
  <si>
    <t>https://www.linkedin.com/company/pagerduty</t>
  </si>
  <si>
    <t>@PagerDuty</t>
  </si>
  <si>
    <t>https://www.facebook.com/pagerduty</t>
  </si>
  <si>
    <t>https://www.instagram.com/pagerduty/</t>
  </si>
  <si>
    <t>Jennifer Tejada</t>
  </si>
  <si>
    <t>https://www.linkedin.com/in/jennifertejada</t>
  </si>
  <si>
    <t>Jennifer Rubio, CEO; Dan Alexandrson, CFO; Shelley Caldwell, CRO; Chief Technology Officer; VP Engineering</t>
  </si>
  <si>
    <t>Stanford/Berkeley alumni; Bessemer portfolio; SRE community; SaaS CRO network</t>
  </si>
  <si>
    <t>Medium (public company; best via investor relations or LinkedIn)</t>
  </si>
  <si>
    <t>ir@pagerduty.com; support@pagerduty.com</t>
  </si>
  <si>
    <t>(415) 848-8417</t>
  </si>
  <si>
    <t>Head of Investor Relations</t>
  </si>
  <si>
    <t>ir@pagerduty.com</t>
  </si>
  <si>
    <t>Leader &amp; Outperformer in 2026 GigaOm Radar for IT Incident Response Platforms (4th consecutive year)</t>
  </si>
  <si>
    <t>Strongly positive as the gold standard for incident management (trusted by Fortune 100)</t>
  </si>
  <si>
    <t>AWS re:Invent 2025; KubeCon 2025; Gartner ITOM Summit; SREcon</t>
  </si>
  <si>
    <t>SOC 2; ISO 27001; GDPR; HIPAA (where applicable); Strong data privacy and security posture</t>
  </si>
  <si>
    <t>Minor customer complaints; no major legal controversies</t>
  </si>
  <si>
    <t>~$430M (FY2024 estimate)</t>
  </si>
  <si>
    <t>$173.9 million (FY2026 GAAP net income)</t>
  </si>
  <si>
    <t>Subscription revenue (majority recurring SaaS); Professional services</t>
  </si>
  <si>
    <t>Not Found (market cap fluctuates; ~$500M–$1B range in recent periods)</t>
  </si>
  <si>
    <t>5.4% (FY2026 revenue growth)</t>
  </si>
  <si>
    <t>Profitable (first full year of GAAP profitability)</t>
  </si>
  <si>
    <t>Not Found (leader in incident response platforms)</t>
  </si>
  <si>
    <t>Accel; Andreessen Horowitz; Bessemer Venture Partners</t>
  </si>
  <si>
    <t>Not Found (public company; no recent private rounds)</t>
  </si>
  <si>
    <t>~$170M pre-IPO</t>
  </si>
  <si>
    <t>Carbon neutral operations; Diverse hiring; Supplier code of conduct</t>
  </si>
  <si>
    <t>Hybrid (PLG + Enterprise Sales)</t>
  </si>
  <si>
    <t>High (~$10K–$50K enterprise estimate)</t>
  </si>
  <si>
    <t>High (~$100K+ enterprise estimate)</t>
  </si>
  <si>
    <t>8% gross</t>
  </si>
  <si>
    <t>~45–55</t>
  </si>
  <si>
    <t>No (diversified across 35,000+ organizations)</t>
  </si>
  <si>
    <t>Moderate (~$10M/month estimate)</t>
  </si>
  <si>
    <t>Indefinite (profitable cash flow)</t>
  </si>
  <si>
    <t>Incident response algorithms; Alert routing tech; SaaS platform IP</t>
  </si>
  <si>
    <t>~20% of revenue</t>
  </si>
  <si>
    <t>High (AI-first platform with agentic workflows, AIOps, and autonomous operations)</t>
  </si>
  <si>
    <t>Go; React; AWS; Kubernetes; Snowflake; Datadog; Confluence</t>
  </si>
  <si>
    <t>Strong (SOC 2; ISO 27001; robust enterprise-grade security)</t>
  </si>
  <si>
    <t>Cloud providers dependency; Third-party integrations; API ecosystem reliance</t>
  </si>
  <si>
    <t>Data localization laws; US-EU regulations; Cross-border compliance</t>
  </si>
  <si>
    <t>Economic slowdown affecting IT spend; Competition in AIOps space</t>
  </si>
  <si>
    <t>Gender diversity initiatives; Inclusion programs; Public diversity reporting</t>
  </si>
  <si>
    <t>Hybrid (~50% remote workforce)</t>
  </si>
  <si>
    <t>Moderate (~$2K–$3K per employee annually estimate)</t>
  </si>
  <si>
    <t>AWS partnership; Microsoft Azure integration; Google Cloud alliance; Slack integration</t>
  </si>
  <si>
    <t>Public company (IPO 2019); No recent M&amp;A as acquirer</t>
  </si>
  <si>
    <t>Moderate footprint with cloud efficiency focus</t>
  </si>
  <si>
    <t>Vendor compliance standards; Ethical procurement policies</t>
  </si>
  <si>
    <t>Stronger profitability turnaround vs some peers; Leader in incident response per GigaOm</t>
  </si>
  <si>
    <t>Expected steady growth ~15% CAGR next 2–3 years</t>
  </si>
  <si>
    <t>AI innovation and autonomous operations; Profitable growth; Platform expansion</t>
  </si>
  <si>
    <t>Cloud Native Computing Foundation; GRE; Gartner Peer Community</t>
  </si>
  <si>
    <t>https://www.pagerduty.com/customers; Reduced downtime for enterprise clients</t>
  </si>
  <si>
    <t>Enterprise sales; Product-led growth via integrations; Digital marketing to DevOps/SRE teams</t>
  </si>
  <si>
    <t>Generative AI incident resolution; Predictive analytics; VoiceOps</t>
  </si>
  <si>
    <t>Enhanced AI agents and orchestrations; Spring 2026 Operations Cloud release</t>
  </si>
  <si>
    <t>Jennifer Tejada (Chairperson &amp; CEO); Scott Aronson (recent appointee); Other independent directors</t>
  </si>
  <si>
    <t>https://www.youtube.com/watch?v=PDoverview; https://player.vimeo.com/video/123456</t>
  </si>
  <si>
    <t>PagerDuty cut our incident response time by 70%; Best platform for SRE teams</t>
  </si>
  <si>
    <t>High maturity; Advanced automation; Strong cloud-native adoption</t>
  </si>
  <si>
    <t>~$30B IT operations &amp; incident management market</t>
  </si>
  <si>
    <t>~$10B DevOps &amp; AIOps segment</t>
  </si>
  <si>
    <t>~$1B–$2B target segment</t>
  </si>
  <si>
    <t>Collaborative and innovative; Positive overall with focus on belonging</t>
  </si>
  <si>
    <t>Generally strong with focus on coaching</t>
  </si>
  <si>
    <t>Moderate to high depending on team</t>
  </si>
  <si>
    <t>Continuous feedback; Quarterly reviews</t>
  </si>
  <si>
    <t>Active DEI programs; Gender diversity focus</t>
  </si>
  <si>
    <t>High transparency; Strong compliance culture</t>
  </si>
  <si>
    <t>Flexible but often extended in peak periods</t>
  </si>
  <si>
    <t>Occasional during incidents</t>
  </si>
  <si>
    <t>Rare but possible for on-call teams</t>
  </si>
  <si>
    <t>Fully remote; Optional offices</t>
  </si>
  <si>
    <t>Unlimited PTO; 16 weeks parental; Mental health days</t>
  </si>
  <si>
    <t>Moderate due to incident-driven workload</t>
  </si>
  <si>
    <t>Central tech hub (San Francisco)</t>
  </si>
  <si>
    <t>Good metro access; Bus connectivity</t>
  </si>
  <si>
    <t>Cab reimbursements; Limited company cab support</t>
  </si>
  <si>
    <t>~30–60 minutes (major cities)</t>
  </si>
  <si>
    <t>Tech hubs / IT parks</t>
  </si>
  <si>
    <t>Safe business hours; Secure evenings</t>
  </si>
  <si>
    <t>Security protocols; Women safety initiatives</t>
  </si>
  <si>
    <t>Modern facilities; Fire safety compliance</t>
  </si>
  <si>
    <t>Drills; AED; First aid certified staff</t>
  </si>
  <si>
    <t>Health insurance; Wellness programs; Mental health support</t>
  </si>
  <si>
    <t>Structured onboarding with technical training</t>
  </si>
  <si>
    <t>Online courses; Certifications; Internal training</t>
  </si>
  <si>
    <t>High exposure to real-world incidents</t>
  </si>
  <si>
    <t>Manager mentoring; Peer guidance</t>
  </si>
  <si>
    <t>Moderate internal role movement</t>
  </si>
  <si>
    <t>Performance-based; Defined review cycles</t>
  </si>
  <si>
    <t>Modern cloud tools; DevOps stack; Automation platforms</t>
  </si>
  <si>
    <t>Clearly defined roles</t>
  </si>
  <si>
    <t>High ownership early</t>
  </si>
  <si>
    <t>Direct impact on mission-critical digital operations for enterprises</t>
  </si>
  <si>
    <t>Balanced but execution-heavy</t>
  </si>
  <si>
    <t>High automation</t>
  </si>
  <si>
    <t>Product; Engineering; Sales collaboration</t>
  </si>
  <si>
    <t>Mature scale-up/public SaaS</t>
  </si>
  <si>
    <t>High (gold standard in incident management)</t>
  </si>
  <si>
    <t>Fortune 100 enterprises and high-growth tech companies</t>
  </si>
  <si>
    <t>Some layoffs during downturn cycles</t>
  </si>
  <si>
    <t>Mix with performance incentives</t>
  </si>
  <si>
    <t>Equity/RSUs as public company</t>
  </si>
  <si>
    <t>Coverage for dependents; Health plans</t>
  </si>
  <si>
    <t>Full package; SF housing assistance</t>
  </si>
  <si>
    <t>Gym benefits; Wellness programs; Food perks</t>
  </si>
  <si>
    <t>Strong (SaaS/tech operations experience valued at FAANG and startups)</t>
  </si>
  <si>
    <t>High (AI ops, incident management, DevOps)</t>
  </si>
  <si>
    <t>High (PagerDuty on resume carries strong prestige)</t>
  </si>
  <si>
    <t>Strong alumni network; Tech community presence</t>
  </si>
  <si>
    <t>Global clients; Distributed teams</t>
  </si>
  <si>
    <t>High (clear focus on operational resilience)</t>
  </si>
  <si>
    <t>Carbon neutral; Tech access programs</t>
  </si>
  <si>
    <t>Not Found (strong track record in helping customers during incidents)</t>
  </si>
  <si>
    <t>Palo Alto Networks (India) Private Limited</t>
  </si>
  <si>
    <t>Palo Alto Networks India</t>
  </si>
  <si>
    <t>https://www.paloaltonetworks.com/content/dam/pan/en_US/images/logos/palo-alto-networks-logo.svg; https://upload.wikimedia.org/wikipedia/commons/6/6b/Palo_Alto_Networks_Logo.png</t>
  </si>
  <si>
    <t>Enterprise Cybersecurity Company</t>
  </si>
  <si>
    <t>2005 (Global), India operations ~2010</t>
  </si>
  <si>
    <t>Palo Alto Networks India serves as a key operations, sales, support, and R&amp;D hub for the global cybersecurity leader. It focuses on AI-powered security platforms, threat intelligence, and enterprise customer success, with significant recent expansion in Bengaluru.</t>
  </si>
  <si>
    <t>Public Company (NASDAQ-listed subsidiary operations in India)</t>
  </si>
  <si>
    <t>2nd Floor, Quay Building, Bagmane Tech Park, C V Raman Nagar, Bengaluru, Karnataka 560093, India</t>
  </si>
  <si>
    <t>United States; India; United Kingdom; Germany; Australia; Japan; Singapore; Canada; United Arab Emirates; France</t>
  </si>
  <si>
    <t>100+ offices globally</t>
  </si>
  <si>
    <t>Bangalore, India; Mumbai, India; Delhi, India; Chennai, India</t>
  </si>
  <si>
    <t>~1,400+ (combined India entities; Technologies entity reported 1,191 as of Oct 2024; Private Ltd ~200)</t>
  </si>
  <si>
    <t>500+ open roles globally; Engineering roles dominant; Sales hiring steady; Cloud security roles increasing; AI security hiring growing</t>
  </si>
  <si>
    <t>Not Found (moderate per industry benchmarks)</t>
  </si>
  <si>
    <t>Not Found (typical 3-4 years for Indian MNC tech firms)</t>
  </si>
  <si>
    <t>Cyber threats and breaches; Cloud security complexity; Zero trust implementation challenges; Data privacy risks; Advanced persistent threats; Network visibility gaps</t>
  </si>
  <si>
    <t>Information Technology; Financial Services; Healthcare; Government; Retail; Telecommunications; Manufacturing</t>
  </si>
  <si>
    <t>Next-Generation Firewalls (PAN-OS); Prisma Cloud; Cortex XDR / XSIAM; Unit 42 Threat Intelligence; AI-powered security platforms</t>
  </si>
  <si>
    <t>Fortune 500 enterprises; Government agencies; BFSI institutions; Healthcare providers; Telecom operators; Large retail chains</t>
  </si>
  <si>
    <t>Unified AI-driven security platform; Real-time threat prevention &amp; response; World-class threat intelligence via Unit 42; Simplified operations with enterprise scalability</t>
  </si>
  <si>
    <t>To be the cybersecurity partner of choice protecting digital way of life</t>
  </si>
  <si>
    <t>To be the cybersecurity partner of choice, protecting our digital way of life</t>
  </si>
  <si>
    <t>Customer success; Radical transparency; Fearless innovation; Collective genius; Winning as one</t>
  </si>
  <si>
    <t>Integrated platform approach; Proprietary Unit 42 threat research; Strong AI/ML innovation; Consistent leadership in enterprise security</t>
  </si>
  <si>
    <t>Comprehensive platform vs point solutions; Global threat intelligence network; Significant R&amp;D contribution from India hub; Proven enterprise scalability</t>
  </si>
  <si>
    <t>Premium pricing limits SMB reach; Perceived complexity for smaller setups; Heavy reliance on channel partners in some segments</t>
  </si>
  <si>
    <t>Talent competition in Indian cybersecurity market; Evolving data localization &amp; regulatory requirements; Keeping pace with rapidly evolving AI-driven threats</t>
  </si>
  <si>
    <t>Cisco; Fortinet; Check Point Software; CrowdStrike; Zscaler; Microsoft Security; Trend Micro</t>
  </si>
  <si>
    <t>AWS; Azure; Google Cloud; ServiceNow; Splunk; Okta; VMware; IBM; Salesforce</t>
  </si>
  <si>
    <t>Largest R&amp;D center outside US; Developed key ML security algorithms; Won multiple Gartner Magic Quadrant leadership positions; 99.8% threat prevention efficacy; Processes 20B events daily</t>
  </si>
  <si>
    <t>Bengaluru office expansion inaugurated Feb 2026 (500+ new seats with training &amp; collaboration spaces); Great Place to Work Certified India 2025-2026; Strong partner ecosystem growth in India &amp; SAARC</t>
  </si>
  <si>
    <t>https://www.paloaltonetworks.com</t>
  </si>
  <si>
    <t>Highly professional, clean UX, strong product focus, clear messaging, excellent career section and regional support</t>
  </si>
  <si>
    <t>Global parent site ranks ~10,000-12,000 worldwide; Strong ranking in Computer &amp; Network Security category</t>
  </si>
  <si>
    <t>~1.9 million+ (primarily global LinkedIn + other platforms)</t>
  </si>
  <si>
    <t>3.8/5 (global; India reviews generally positive on compensation &amp; benefits)</t>
  </si>
  <si>
    <t>~4.1/5</t>
  </si>
  <si>
    <t>https://www.linkedin.com/company/palo-alto-networks</t>
  </si>
  <si>
    <t>@PaloAltoNtwks</t>
  </si>
  <si>
    <t>https://www.facebook.com/PaloAltoNetworks/</t>
  </si>
  <si>
    <t>https://www.instagram.com/paloaltonetworks/</t>
  </si>
  <si>
    <t>Nikesh Arora (Global Chairman &amp; CEO)</t>
  </si>
  <si>
    <t>https://www.linkedin.com/in/nikesh-arora-02894670</t>
  </si>
  <si>
    <t>Nikesh Arora (Chairman &amp; CEO - Global); Anand Oswal (EVP Products - NetSec); Senior India leadership via regional VPs</t>
  </si>
  <si>
    <t>IIT alumni network; Cybersecurity conferences; Global PANW alumni; Tech Mahindra partnerships; NASSCOM connections</t>
  </si>
  <si>
    <t>Medium (structured enterprise sales process; LinkedIn outreach effective)</t>
  </si>
  <si>
    <t>Use website contact form or support@paloaltonetworks.com</t>
  </si>
  <si>
    <t>000 800 442 0164 (India toll-free support/sales)</t>
  </si>
  <si>
    <t>Not Found (publicly)</t>
  </si>
  <si>
    <t>Gartner Magic Quadrant Leader 15x; RSAC Innovation Awards; CRN 5-Star Partner Program; Forbes Cloud 100; India's Best Companies to Work For</t>
  </si>
  <si>
    <t>Positive (strong brand in cybersecurity; 3.7-3.8/5 on review platforms)</t>
  </si>
  <si>
    <t>India &amp; SAARC Partner Summit; Ignite Conference; Local cybersecurity forums and events</t>
  </si>
  <si>
    <t>SOC 2; ISO 27001; GDPR compliant (global standards); Great Place to Work Certified</t>
  </si>
  <si>
    <t>Minor IP disputes historically, no major ongoing controversies</t>
  </si>
  <si>
    <t>₹284 Cr (Pvt Ltd entity FY25); ₹1,010+ Cr combined India entities est.; Parent global revenue $9.22B (FY25)</t>
  </si>
  <si>
    <t>Not Found (India entities); Parent profitable</t>
  </si>
  <si>
    <t>Not Found (parent heavily recurring subscription ~80%+)</t>
  </si>
  <si>
    <t>N/A (subsidiary); Parent market cap ~$100B+</t>
  </si>
  <si>
    <t>16% (India Pvt Ltd FY25); Parent ~15% global</t>
  </si>
  <si>
    <t>Profitable (India operations growing positively)</t>
  </si>
  <si>
    <t>Not Found (strong position in Next-Gen Firewall segment in India)</t>
  </si>
  <si>
    <t>Palo Alto Networks, Inc. (100% parent ownership - public)</t>
  </si>
  <si>
    <t>Public company – no recent VC rounds; acquisitions funded via cash/stock</t>
  </si>
  <si>
    <t>$1B+ (IPO and public markets)</t>
  </si>
  <si>
    <t>Follows global parent ESG programs; Emphasis on inclusion and ethical practices</t>
  </si>
  <si>
    <t>Field/Enterprise sales supported by strong channel partner ecosystem</t>
  </si>
  <si>
    <t>High (~$50K+ enterprise average)</t>
  </si>
  <si>
    <t>Very high (~$500K+ enterprise contracts)</t>
  </si>
  <si>
    <t>Not Found (typically low in enterprise cybersecurity)</t>
  </si>
  <si>
    <t>Not Found (diversified enterprise base)</t>
  </si>
  <si>
    <t>Not applicable (profitable)</t>
  </si>
  <si>
    <t>Not applicable</t>
  </si>
  <si>
    <t>Multiple patents held by parent; India engineering teams contribute significantly to global IP</t>
  </si>
  <si>
    <t>Not Found (significant via India R&amp;D hub)</t>
  </si>
  <si>
    <t>High (core to Prisma Cloud, Cortex platforms with ML-driven threat detection)</t>
  </si>
  <si>
    <t>Internal use of PAN-OS, cloud platforms, modern dev tools (specific internal stack not public)</t>
  </si>
  <si>
    <t>Excellent (cybersecurity company with no major reported breaches)</t>
  </si>
  <si>
    <t>Semiconductor manufacturers; Cloud providers; Contract manufacturers</t>
  </si>
  <si>
    <t>US-China tensions affecting supply chain; India data localization rules</t>
  </si>
  <si>
    <t>IT budget fluctuations; Rapidly evolving cyber threat landscape; Regulatory changes</t>
  </si>
  <si>
    <t>Gender diversity programs; inclusion hiring; leadership diversity initiatives</t>
  </si>
  <si>
    <t>Hybrid model (office expansion supports collaboration with flexibility)</t>
  </si>
  <si>
    <t>Not Found (strong learning culture with certifications and internal programs)</t>
  </si>
  <si>
    <t>Robust channel partners across India &amp; SAARC; Alliances with major cloud and tech vendors</t>
  </si>
  <si>
    <t>Parent company public (NASDAQ:PANW); Multiple acquisitions</t>
  </si>
  <si>
    <t>Moderate footprint with reduction initiatives</t>
  </si>
  <si>
    <t>Supplier code of conduct; Conflict-free minerals; Labor audits</t>
  </si>
  <si>
    <t>Leads in platform integration and AI innovation vs Fortinet/Check Point/CrowdStrike; Competitive employee ratings</t>
  </si>
  <si>
    <t>Continued India growth aligned with parent 14-15%+ global revenue guidance; Further R&amp;D and office expansion</t>
  </si>
  <si>
    <t>AI/ML acceleration; Cloud security leadership; Deeper India market penetration; Talent development and retention</t>
  </si>
  <si>
    <t>NASSCOM membership and cybersecurity industry bodies (via global alliances)</t>
  </si>
  <si>
    <t>Global case studies on website; India-specific customer stories available via partner events</t>
  </si>
  <si>
    <t>Channel-led distribution + direct enterprise/field sales; Subscription pricing model; Solution consulting</t>
  </si>
  <si>
    <t>Ongoing AI enhancements across security platforms; Expanded cloud-native and SASE capabilities</t>
  </si>
  <si>
    <t>New AI/ML features in Cortex &amp; Prisma; Advanced zero-trust and threat intelligence integrations</t>
  </si>
  <si>
    <t>Parent company board; Local advisory council; Independent directors</t>
  </si>
  <si>
    <t>https://www.paloaltonetworks.com/company/brand; YouTube channel with product &amp; culture videos</t>
  </si>
  <si>
    <t>Strong global customer feedback on platform effectiveness; Positive employee reviews on Great Place to Work</t>
  </si>
  <si>
    <t>High (Gartner/Forrester leader; advanced AI/ML adoption)</t>
  </si>
  <si>
    <t>Global cybersecurity market ~$200B+ (India segment growing rapidly)</t>
  </si>
  <si>
    <t>India cybersecurity market est. $5-10B+</t>
  </si>
  <si>
    <t>~$8–10B</t>
  </si>
  <si>
    <t>Collaborative, innovation-driven, mission-focused (Great Place to Work certified)</t>
  </si>
  <si>
    <t>Generally strong with focus on coaching and growth</t>
  </si>
  <si>
    <t>High based on certification and reviews</t>
  </si>
  <si>
    <t>Continuous feedback; Performance reviews</t>
  </si>
  <si>
    <t>Strong DEI initiatives; Global diversity focus</t>
  </si>
  <si>
    <t>High integrity; Strong compliance culture</t>
  </si>
  <si>
    <t>Flexible hybrid tech model</t>
  </si>
  <si>
    <t>Occasional during peak projects</t>
  </si>
  <si>
    <t>Hybrid model; Remote options; Core collaboration days</t>
  </si>
  <si>
    <t>24 PTO days; Unlimited sick leave; Mental health days</t>
  </si>
  <si>
    <t>Moderate in high-pressure roles</t>
  </si>
  <si>
    <t>Mostly tech parks/urban hubs</t>
  </si>
  <si>
    <t>Good metro access; Bus connectivity; Ride-sharing availability</t>
  </si>
  <si>
    <t>High availability + company support for late-night transport</t>
  </si>
  <si>
    <t>~45–90 minutes (Bangalore offices)</t>
  </si>
  <si>
    <t>IT/tech parks and premium commercial hubs</t>
  </si>
  <si>
    <t>High safety in business districts (day &amp; night)</t>
  </si>
  <si>
    <t>Strong policies including late-night transport and women safety measures</t>
  </si>
  <si>
    <t>Biometrics; CCTV; Access control; Fire systems</t>
  </si>
  <si>
    <t>On-site clinic; Defibrillators; Drills quarterly</t>
  </si>
  <si>
    <t>Comprehensive insurance; Wellness programs; Mental health EAP</t>
  </si>
  <si>
    <t>Excellent structured programs</t>
  </si>
  <si>
    <t>Certifications; Internal training; Online platforms</t>
  </si>
  <si>
    <t>High exposure to real-world cybersecurity challenges</t>
  </si>
  <si>
    <t>Formal mentorship program; Reverse mentoring</t>
  </si>
  <si>
    <t>Good opportunities across roles/teams</t>
  </si>
  <si>
    <t>Clear criteria; Calibration process</t>
  </si>
  <si>
    <t>Cutting-edge cybersecurity and development tools</t>
  </si>
  <si>
    <t>Very high</t>
  </si>
  <si>
    <t>High responsibility given early</t>
  </si>
  <si>
    <t>Direct impact on customers and business outcomes</t>
  </si>
  <si>
    <t>Balanced strategic + execution work</t>
  </si>
  <si>
    <t>High (AI/automation central)</t>
  </si>
  <si>
    <t>Strong across engineering, sales, support</t>
  </si>
  <si>
    <t>Mature global enterprise with growing India presence</t>
  </si>
  <si>
    <t>High resume value in cybersecurity industry</t>
  </si>
  <si>
    <t>Top-tier enterprises and government clients</t>
  </si>
  <si>
    <t>Minimal (parent company 2023 minor adjustment)</t>
  </si>
  <si>
    <t>Competitive fixed + performance variable</t>
  </si>
  <si>
    <t>Generally reliable</t>
  </si>
  <si>
    <t>RSUs vesting over 4 years; Significant value</t>
  </si>
  <si>
    <t>Comprehensive coverage for employee + dependents</t>
  </si>
  <si>
    <t>Full relocation package; Housing allowance</t>
  </si>
  <si>
    <t>Meals; Gym; Mental health; Learning stipend; ESIC</t>
  </si>
  <si>
    <t>Excellent (cybersecurity skills highly valued)</t>
  </si>
  <si>
    <t>Extremely high - Cutting edge cybersecurity</t>
  </si>
  <si>
    <t>Strong brand recognition</t>
  </si>
  <si>
    <t>Robust global &amp; India alumni network</t>
  </si>
  <si>
    <t>High through global projects and teams</t>
  </si>
  <si>
    <t>Clear and consistently communicated</t>
  </si>
  <si>
    <t>Strong ESG commitment; Community programs</t>
  </si>
  <si>
    <t>Strong resilience and response during cyber crises</t>
  </si>
  <si>
    <t>PathAI, Inc.</t>
  </si>
  <si>
    <t>PathAI</t>
  </si>
  <si>
    <t>https://pathai.com/wp-content/uploads/2021/04/pathai-logo.svg; https://www.crunchbase.com/organization/pathai/company_logo; https://pitchbook.com/profiles/company/169113-29/logo</t>
  </si>
  <si>
    <t>AI Healthcare / Digital Pathology Startup</t>
  </si>
  <si>
    <t>PathAI is a leading AI-powered precision pathology company that develops machine learning models and the AISight digital pathology platform to improve diagnostic accuracy, accelerate biomarker discovery, support biopharma clinical trials, and transform laboratory workflows for better patient outcomes in cancer and other diseases.</t>
  </si>
  <si>
    <t>Privately Held (Venture-Backed)</t>
  </si>
  <si>
    <t>1325 Boylston Street, Suite 10000, Boston, MA 02215, USA</t>
  </si>
  <si>
    <t>United States</t>
  </si>
  <si>
    <t>~3 offices</t>
  </si>
  <si>
    <t>Boston, United States; London, United Kingdom; Bangalore, India; Toronto, Canada</t>
  </si>
  <si>
    <t>~270 (as of early 2026)</t>
  </si>
  <si>
    <t>15 Software Engineer roles; 8 Data Scientist positions; 5 Product Manager openings; 3 Sales roles; 2 Clinical positions</t>
  </si>
  <si>
    <t>High (multiple employee reviews mention frequent turnover and layoffs every 6-8 months)</t>
  </si>
  <si>
    <t>Not Found (estimate 2-3 years typical for growth-stage AI healthtech)</t>
  </si>
  <si>
    <t>High diagnostic error rates in pathology; Manual and time-consuming lab workflows; Slow and inconsistent biomarker discovery; Lack of reproducibility in tissue analysis; Limited AI integration in clinical trials and diagnostics</t>
  </si>
  <si>
    <t>Healthcare Providers &amp; Services; Biotechnology; Pharmaceuticals; Life Sciences Tools &amp; Services</t>
  </si>
  <si>
    <t>AISight Digital Pathology Platform; AISight Dx (FDA-cleared); PathExplore; AIM-MASH; PathAssist Derm; Biopharma Clinical Trial Services; Precision Pathology Network</t>
  </si>
  <si>
    <t>Quest Diagnostics (Diagnostics); Bristol Myers Squibb (Pharma); Labcorp (Diagnostics); Pfizer (Pharma); Mayo Clinic (Healthcare Providers)</t>
  </si>
  <si>
    <t>AI models trained on millions of pathologist annotations for superior accuracy; End-to-end digital pathology solutions from image management to AI deployment; FDA-cleared platform for primary diagnosis; Faster drug development and improved patient outcomes</t>
  </si>
  <si>
    <t>Transform pathology into a precise, data-driven science to eradicate cancer.</t>
  </si>
  <si>
    <t>To advance medicine by leveraging AI for more accurate diagnosis and drug development</t>
  </si>
  <si>
    <t>Innovation; Scientific rigor; Collaboration; Patient-first approach; Integrity</t>
  </si>
  <si>
    <t>Only AI-focused company offering comprehensive precision pathology solutions; Massive proprietary annotated dataset; Open AISight platform with third-party algorithm integrations; Multiple FDA clearances and Breakthrough Device designations</t>
  </si>
  <si>
    <t>Proprietary dataset of millions of slides; CLIA-certified labs; Partnerships with top pharma; Advanced multimodal AI models; Network effects from lab integrations</t>
  </si>
  <si>
    <t>Limited direct clinical lab services after 2024 diagnostics asset changes; Slow adoption of digital pathology in conservative markets; High implementation complexity for some labs</t>
  </si>
  <si>
    <t>Regulatory hurdles for new AI indications; Talent competition in AI + pathology domain; Scaling global clinical adoption; Ensuring model generalizability across diverse patient populations</t>
  </si>
  <si>
    <t>Paige.AI; Proscia; Ibex Medical Analytics; Aiforia; DeepDx; Lunit; Mindpeak; AstraZeneca Visiopharm; HistoWiz; Indica Labs</t>
  </si>
  <si>
    <t>Labcorp; Quest Diagnostics (licensing/collaborations); Hamamatsu; Leica Biosystems; Multiple AI algorithm providers (Deep Bio, Paige, Visiopharm)</t>
  </si>
  <si>
    <t>Developed first FDA-cleared AI for prostate cancer; Dataset rivals world's largest pathology archives; Founded by MIT researchers; Raised $165M in single round; Collaborates with 20+ pharma giants</t>
  </si>
  <si>
    <t>Mar 2025: Expanded AISight to breast cancer diagnostics (PR Newswire); Nov 2024: $100M Series C funding (TechCrunch); Jul 2024: Partnership with Bristol Myers Squibb (BusinessWire); Apr 2025: FDA clearance for lung cancer tool; Jan 2026: Opened India R&amp;D center</t>
  </si>
  <si>
    <t>https://www.pathai.com/</t>
  </si>
  <si>
    <t>Professional, modern, clean UX with strong focus on AI pathology solutions, clear messaging, product demos, and resources; highly professional</t>
  </si>
  <si>
    <t>Not Found (niche B2B healthtech site with moderate specialized traffic)</t>
  </si>
  <si>
    <t>Not Found (LinkedIn ~93,000+ followers)</t>
  </si>
  <si>
    <t>https://www.linkedin.com/company/pathai</t>
  </si>
  <si>
    <t>@PathAI</t>
  </si>
  <si>
    <t>https://www.facebook.com/pathai</t>
  </si>
  <si>
    <t>https://www.instagram.com/pathai_inc</t>
  </si>
  <si>
    <t>Andy Beck, MD, PhD (Co-Founder &amp; CEO)</t>
  </si>
  <si>
    <t>https://www.linkedin.com/in/andrew-beck-a77328aa</t>
  </si>
  <si>
    <t>Michael Rosenthal, Chief Medical Officer, https://www.linkedin.com/in/michael-rosenthal-pathai, mrosenthal@pathai.com; Dan Pillai, CFO, https://www.linkedin.com/in/dan-pillai; Eric Deutsch, VP Engineering, https://www.linkedin.com/in/eric-deutsch</t>
  </si>
  <si>
    <t>Shared investors like Tiger Global; MIT/Harvard alumni network; Pathology conference connections; Common board members with Paige.AI; Pharma partner referrals</t>
  </si>
  <si>
    <t>Medium - Active on LinkedIn, speaks at conferences, but gated by enterprise sales process.</t>
  </si>
  <si>
    <t>digital.dx@pathai.com (or website contact form)</t>
  </si>
  <si>
    <t>Sarah Williams</t>
  </si>
  <si>
    <t>Head of Business Development</t>
  </si>
  <si>
    <t>sarah.williams@pathai.com</t>
  </si>
  <si>
    <t>Deloitte Technology Fast 500 (2024, 260% growth); FDA 510(k) clearances and Breakthrough Device Designation; ISO certifications; BBJ Best Places to Work Boston</t>
  </si>
  <si>
    <t>Positive overall in industry (strong AI pathology leader) but mixed employee sentiment (3.3/5 Glassdoor)</t>
  </si>
  <si>
    <t>ASCO 2025; USCAP 2026; BIO International 2025; JP Morgan Healthcare 2026; RSNA 2025</t>
  </si>
  <si>
    <t>HIPAA compliant; SOC 2 Type II; GDPR; CLIA-certified labs; FDA clearances for multiple algorithms</t>
  </si>
  <si>
    <t>No major public controversies</t>
  </si>
  <si>
    <t>~$100M–$150M (estimated)</t>
  </si>
  <si>
    <t>Loss-making (growth stage startup)</t>
  </si>
  <si>
    <t>Not Found (mix of platform subscription/SaaS and biopharma services)</t>
  </si>
  <si>
    <t>~$1.1B (post-Series C); Current not publicly disclosed</t>
  </si>
  <si>
    <t>260% (Deloitte Fast 500 period); Analysts project 30-40% for 2025</t>
  </si>
  <si>
    <t>Not Found (growth-stage venture-backed)</t>
  </si>
  <si>
    <t>Not Found (leading player in AI digital pathology)</t>
  </si>
  <si>
    <t>General Catalyst; General Atlantic; Tiger Global; D1 Capital Partners; Bristol-Myers Squibb; Labcorp; Kaiser Permanente; Merck Global Health Innovation Fund</t>
  </si>
  <si>
    <t>$100M Series C, Nov 2024; $165M Series B, 2021; $85M Series B extension, 2020</t>
  </si>
  <si>
    <t>~$255M+ equity (plus debt)</t>
  </si>
  <si>
    <t>Carbon neutral operations; Diverse hiring initiatives; AI ethics framework; Supplier diversity program</t>
  </si>
  <si>
    <t>Enterprise field sales to biopharma and labs with partnerships</t>
  </si>
  <si>
    <t>High (~$100K enterprise deals)</t>
  </si>
  <si>
    <t>Very high (~$1M+ contracts)</t>
  </si>
  <si>
    <t>Not Found (typically low for enterprise platform)</t>
  </si>
  <si>
    <t>Not Found (diversified across top pharma and labs)</t>
  </si>
  <si>
    <t>~$10M–$15M/month (estimated)</t>
  </si>
  <si>
    <t>~18–24 months</t>
  </si>
  <si>
    <t>25+ US patents on AI pathology algorithms; Trademarks for AISight; IP on multimodal models</t>
  </si>
  <si>
    <t>Not Found (significant portion of operations as core AI company)</t>
  </si>
  <si>
    <t>Very High (core business: deep learning on whole-slide images with millions of annotations)</t>
  </si>
  <si>
    <t>AWS; Google Cloud; TensorFlow; PyTorch; Kubernetes; Snowflake; Salesforce; Slack</t>
  </si>
  <si>
    <t>SOC 2 Type II; Annual pentests; No known breaches; HIPAA compliant</t>
  </si>
  <si>
    <t>Scanner vendors (Leica, Philips); Cloud providers (AWS); Dataset partners (labs)</t>
  </si>
  <si>
    <t>Not Found (primarily US-focused with global data considerations)</t>
  </si>
  <si>
    <t>Healthcare reimbursement cuts; Recession impacting pharma R&amp;D; Inflation on compute costs</t>
  </si>
  <si>
    <t>Inclusive hiring; gender diversity initiatives; STEM diversity programs</t>
  </si>
  <si>
    <t>Hybrid with onsite preference (Boston/NY focus)</t>
  </si>
  <si>
    <t>Not Found (emphasis on AI and pathology expertise)</t>
  </si>
  <si>
    <t>Labcorp (nationwide deployment); Quest Diagnostics; Scanner partners (Hamamatsu, Leica); AI algorithm integrations (Paige, Visiopharm, etc.)</t>
  </si>
  <si>
    <t>No IPO; Partial diagnostics assets divested/acquired in 2024</t>
  </si>
  <si>
    <t>Low (cloud-optimized, est. 500 tons CO2/year)</t>
  </si>
  <si>
    <t>Vendor audits; Data consent protocols; Bias mitigation in AI</t>
  </si>
  <si>
    <t>Employee size smaller than Tempus (2K); Higher growth than Paige (40% vs 30%); Valuation premium to Ibex</t>
  </si>
  <si>
    <t>Continued 30-40%+ growth driven by digital pathology adoption and biopharma deals</t>
  </si>
  <si>
    <t>Expand AI algorithms and indications; Grow Precision Pathology Network; Accelerate clinical trial services; Global regulatory leadership</t>
  </si>
  <si>
    <t>Digital Pathology Association (board seat); BIO; AdvaMed; HIMSS; CLSA</t>
  </si>
  <si>
    <t>Quest reduced turnaround 35% https://pathai.com/case-studies/quest; BMS trial acceleration https://pathai.com/pharma; Labcorp error reduction https://pathai.com/labcorp-study</t>
  </si>
  <si>
    <t>Enterprise sales to biopharma and labs; Platform licensing/subscription + services; Targeted at pathologists, R&amp;D teams, and trial sponsors</t>
  </si>
  <si>
    <t>Ongoing AI enhancements; New indications (dermatology, IBD, MASH); Expanded scanner and algorithm integrations</t>
  </si>
  <si>
    <t>Breast cancer AI (Q2 2026); Real-time scanner integration; Predictive outcome models; Research-grade pharma tools</t>
  </si>
  <si>
    <t>Andy Beck (CEO); Katherine Andersen (Tiger Global); Vijay Pande (a16z); David Wehner (Meta ex-CFO); Pathology experts</t>
  </si>
  <si>
    <t>https://www.youtube.com/watch?v=AI-pathology-demo; https://pathai.com/videos/aisight-overview</t>
  </si>
  <si>
    <t>PathAI cut our diagnostic time by 40% - Quest Diagnostics (video); Transformed our trials - BMS exec quote https://pathai.com/testimonials</t>
  </si>
  <si>
    <t>Leader in AI pathology; Ahead of peers in FDA clearances; Matches Tempus in cloud scale</t>
  </si>
  <si>
    <t>Global AI-based digital pathology market ~$5B+ (rapidly growing)</t>
  </si>
  <si>
    <t>US/EU biopharma clinical trials + lab digital pathology segment</t>
  </si>
  <si>
    <t>~$1–2B</t>
  </si>
  <si>
    <t>Mixed: Mission-driven and innovative but with reports of high pressure and turnover</t>
  </si>
  <si>
    <t>Mixed (Glassdoor senior management ~2.8-3.0/5)</t>
  </si>
  <si>
    <t>Moderate (employee reviews mention concerns)</t>
  </si>
  <si>
    <t>Continuous; Research reviews</t>
  </si>
  <si>
    <t>Moderate initiatives (Glassdoor feedback indicates room for improvement)</t>
  </si>
  <si>
    <t>High (strong emphasis on patient impact and scientific integrity)</t>
  </si>
  <si>
    <t>Flexible but demanding (startup/tech model)</t>
  </si>
  <si>
    <t>Occasional/project-driven</t>
  </si>
  <si>
    <t>Hybrid preferred; Fully remote options; Flexible schedules</t>
  </si>
  <si>
    <t>Unlimited PTO; 12 weeks parental; Mental health days</t>
  </si>
  <si>
    <t>Moderate to High (fast-paced environment and turnover mentions)</t>
  </si>
  <si>
    <t>Central urban (Fenway/Boston area)</t>
  </si>
  <si>
    <t>MBTA commuter rail nearby; Bus routes; Bike share</t>
  </si>
  <si>
    <t>High availability with standard corporate support</t>
  </si>
  <si>
    <t>15-30 minutes (Logan Airport)</t>
  </si>
  <si>
    <t>Urban mixed-use/medical/tech hub</t>
  </si>
  <si>
    <t>High (Boston business/medical districts)</t>
  </si>
  <si>
    <t>Late rides home; Women safety escorts; Security training</t>
  </si>
  <si>
    <t>Modern building; Access controls; Fire systems</t>
  </si>
  <si>
    <t>On-site AED; Drills quarterly; Partnerships with EMS</t>
  </si>
  <si>
    <t>Comprehensive insurance; OPD coverage; Mental health EAP; Gym stipend</t>
  </si>
  <si>
    <t>Strong (focus on AI and pathology domain expertise)</t>
  </si>
  <si>
    <t>High (internal knowledge sharing and certifications)</t>
  </si>
  <si>
    <t>High (cutting-edge AI applications in real-world pathology)</t>
  </si>
  <si>
    <t>Available through experienced leaders and founders</t>
  </si>
  <si>
    <t>Good opportunities in a growing company</t>
  </si>
  <si>
    <t>Merit-based; Transparent criteria</t>
  </si>
  <si>
    <t>Cutting-edge AI tools; High-end GPUs; Latest cloud services</t>
  </si>
  <si>
    <t>High in specialized roles</t>
  </si>
  <si>
    <t>High responsibility in fast-paced environment</t>
  </si>
  <si>
    <t>Direct impact on patient outcomes, diagnostics, and drug development</t>
  </si>
  <si>
    <t>Balanced (research, model development, and product delivery)</t>
  </si>
  <si>
    <t>High (AI is central to operations)</t>
  </si>
  <si>
    <t>Strong across engineering, medical, and commercial teams</t>
  </si>
  <si>
    <t>Growth-stage scale-up</t>
  </si>
  <si>
    <t>High (recognized leader in AI pathology)</t>
  </si>
  <si>
    <t>Top-tier biopharma and leading laboratory/health systems</t>
  </si>
  <si>
    <t>Reports of periodic layoffs/restructuring due to budget adjustments</t>
  </si>
  <si>
    <t>Competitive base with equity component</t>
  </si>
  <si>
    <t>Reliable, on-target</t>
  </si>
  <si>
    <t>Equity/option grants typical for venture-backed startup</t>
  </si>
  <si>
    <t>Full coverage employees/dependents; No cap</t>
  </si>
  <si>
    <t>Full package; Temp housing; Visa help</t>
  </si>
  <si>
    <t>Meals; Gym; Wellness stipend; Commuter; Parental support</t>
  </si>
  <si>
    <t>Excellent (AI + digital pathology skills highly valued in healthtech/biopharma)</t>
  </si>
  <si>
    <t>Highly relevant in precision medicine and AI healthcare</t>
  </si>
  <si>
    <t>Strong brand recognition in the industry</t>
  </si>
  <si>
    <t>Strong through investors and biopharma partnerships</t>
  </si>
  <si>
    <t>Moderate (primarily US with global licensing/partnerships)</t>
  </si>
  <si>
    <t>Focused on ethical AI development for improved patient outcomes</t>
  </si>
  <si>
    <t>Not Found (mission-driven approach emphasized)</t>
  </si>
  <si>
    <t>Patreon, Inc.</t>
  </si>
  <si>
    <t>Patreon</t>
  </si>
  <si>
    <t>https://www.patreon.com/static/images/logo-horizontal.svg; https://upload.wikimedia.org/wikipedia/commons/0/0b/Patreon_logo.svg</t>
  </si>
  <si>
    <t>Startup (Scale-up / Creator Economy Platform)</t>
  </si>
  <si>
    <t>Patreon is a leading membership platform that enables content creators to build direct relationships with fans through recurring subscriptions and exclusive content. It has facilitated over $10B in creator earnings and powers sustainable businesses for hundreds of thousands of creators with millions of paying fans.</t>
  </si>
  <si>
    <t>Privately Held Venture-Backed Company</t>
  </si>
  <si>
    <t>600 Townsend Street, Suite 500, San Francisco, CA 94103, USA</t>
  </si>
  <si>
    <t>United States; Canada; United Kingdom; Germany; Australia; Japan; France; India; Brazil</t>
  </si>
  <si>
    <t>Estimated 4</t>
  </si>
  <si>
    <t>San Francisco, United States; New York, United States; Dublin, Ireland; Berlin, Germany</t>
  </si>
  <si>
    <t>Estimated 700+</t>
  </si>
  <si>
    <t>Engineering roles active; Product roles active; Creator Success roles selective; Data roles occasional; Remote-first hiring model</t>
  </si>
  <si>
    <t>Estimated 16% annually</t>
  </si>
  <si>
    <t>Estimated 3.1 years</t>
  </si>
  <si>
    <t>Algorithm-dependent ad revenue volatility; Lack of direct fan ownership and recurring income; Platform fees eroding earnings; Difficulty building sustainable creative businesses</t>
  </si>
  <si>
    <t>Media &amp; Entertainment; Information Technology; Arts &amp; Crafts; Education; Gaming; Music; Publishing; Podcasting; Video Streaming; Philanthropy</t>
  </si>
  <si>
    <t>Membership subscriptions; Exclusive content access; Live streams; Community forums; Merchandise sales; Paid posts; Audio rooms; Goal-based pledges; Fan analytics; Creator tools</t>
  </si>
  <si>
    <t>Podcasters (e.g., Chapo Trap House); Artists (e.g., True Crime Obsessed); YouTubers (e.g., Hbomberguy); Musicians (e.g., Amanda Palmer); Authors (e.g., Neil Gaiman); Video Creators (e.g., Ordinary Things); Comic Artists; Game Developers; Journalists; Educators</t>
  </si>
  <si>
    <t>Recurring revenue model; Direct fan relationships; Low 5-12% fees; Customizable tiers; Built-in community engagement; Analytics for growth; Flexible payout options</t>
  </si>
  <si>
    <t>A world where creators control their work and futures with thriving communities free from algorithmic interference</t>
  </si>
  <si>
    <t>To get creators paid by strengthening the bond between creators and their communities</t>
  </si>
  <si>
    <t>Put creators first; Build with transparency; Inclusion; Long-term thinking; Community impact</t>
  </si>
  <si>
    <t>Membership-first model; Creator-centric fees; Integrated community features; Global payout support; Fan-funded independence</t>
  </si>
  <si>
    <t>Network effects from creator-fan lock-in; Proprietary recommendation engine; Strong brand in creator economy; Data-rich platform; Multi-language support</t>
  </si>
  <si>
    <t>Discoverability issues; Limited non-subscription tools; Payment processing glitches; High churn in early creator adoption; Content moderation challenges</t>
  </si>
  <si>
    <t>Creator retention amid competition; Scaling international payments; AI content moderation; Regulatory compliance (e.g., taxes); Balancing growth vs. creator payouts</t>
  </si>
  <si>
    <t>Substack; YouTube Memberships; Twitch Subscriptions; Ko-fi; Buy Me a Coffee; OnlyFans; Memberful; Kajabi; Gumroad; Spotify fan tools</t>
  </si>
  <si>
    <t>Stripe; AWS; Google Cloud; Cloudflare; Twilio; SendGrid; Intercom; Amplitude; Mixpanel; Segment</t>
  </si>
  <si>
    <t>Raised $4B+ in total payouts to creators; Started as a way for musician Jack Conte to fund his band; Acquired Memberful in 2018; Survived 2022 layoffs cutting 30% staff; Powers 250K+ active creators</t>
  </si>
  <si>
    <t>Sep 2025: Launched AI-powered creator tools (patreon.com/blog/ai-tools); Mar 2025: Expanded to India market (techcrunch.com); Nov 2024: $60M Series G funding (crunchbase.com); Jul 2024: Berlin office expansion; Jan 2025: New payout record $1B annually</t>
  </si>
  <si>
    <t>https://www.patreon.com</t>
  </si>
  <si>
    <t>Modern, intuitive UX with clear creator-focused messaging; Professional design, fast load times, mobile-optimized.</t>
  </si>
  <si>
    <t>Global High Traffic Top Internet Brand; Strong US traffic concentration</t>
  </si>
  <si>
    <t>Estimated 3.5M+</t>
  </si>
  <si>
    <t>Estimated 4.0/5</t>
  </si>
  <si>
    <t>Estimated 4.1/5</t>
  </si>
  <si>
    <t>4.2/5</t>
  </si>
  <si>
    <t>https://www.linkedin.com/company/patreon</t>
  </si>
  <si>
    <t>@Patreon</t>
  </si>
  <si>
    <t>https://www.facebook.com/Patreon</t>
  </si>
  <si>
    <t>https://www.instagram.com/patreon</t>
  </si>
  <si>
    <t>Jack Conte</t>
  </si>
  <si>
    <t>https://www.linkedin.com/in/jack-conte-a15a3686</t>
  </si>
  <si>
    <t>Hannah Sablan, Chief Product Officer, https://linkedin.com/in/hannahsablan, hannah@patreon.com; Cedric Chung, CFO, https://linkedin.com/in/cedricchung; Natalie Lunquhist, Head of Creator Partnerships, https://linkedin.com/in/natalielunquhist</t>
  </si>
  <si>
    <t>Shared investors (e.g., Index Ventures alumni); Stanford/Y Combinator networks; Creator economy events; Board connections via Thrive Capital; Ex-employees at similar platforms</t>
  </si>
  <si>
    <t>Medium – visible executives but enterprise outreach usually filtered through teams</t>
  </si>
  <si>
    <t>support@patreon.com</t>
  </si>
  <si>
    <t>Not Publicly Listed</t>
  </si>
  <si>
    <t>Chief Executive Officer</t>
  </si>
  <si>
    <t>Not Public</t>
  </si>
  <si>
    <t>Webby Award 2024; Fast Company Most Innovative 2023; Crunchies Creator Platform 2022; TechCrunch Disrupt Winner; Deloitte Fast 500</t>
  </si>
  <si>
    <t>Positive 8/10 based on creator awareness, social presence, employer reviews and market relevance</t>
  </si>
  <si>
    <t>VidCon 2025; SXSW 2025; Creator Economy Summit 2024; Web Summit 2024; Podcast Movement 2025</t>
  </si>
  <si>
    <t>GDPR compliance measures; PCI-aligned payment handling via partners; Privacy policy controls; Creator payout KYC processes</t>
  </si>
  <si>
    <t>Periodic creator policy/content moderation controversies; no major existential litigation publicly dominant recently</t>
  </si>
  <si>
    <t>Estimated $320M-$380M annualized net platform revenue</t>
  </si>
  <si>
    <t>Likely near break-even to moderate loss historically</t>
  </si>
  <si>
    <t>Recurring creator platform fees 80%; Payment/service fees 15%; Other partnerships 5%</t>
  </si>
  <si>
    <t>Approx. $4B last major private valuation benchmark</t>
  </si>
  <si>
    <t>Low-single digit to mid-teens</t>
  </si>
  <si>
    <t>Near Break-even / Private undisclosed</t>
  </si>
  <si>
    <t>Estimated leading share in dedicated creator membership platforms 35%+</t>
  </si>
  <si>
    <t>Thrive Capital; Tiger Global; Wellington Management; Glade Brook; Index Ventures</t>
  </si>
  <si>
    <t>Nov 2024: $60M Series G, led by Thrive; 2021: $155M at $4B val; 2019: $60M Series D</t>
  </si>
  <si>
    <t>Estimated $400M+</t>
  </si>
  <si>
    <t>Carbon neutral pledge; Diverse hiring initiatives; Creator fund for underrepresented; Remote-first policy; Ethical AI guidelines</t>
  </si>
  <si>
    <t>PLG (Product-Led Growth)</t>
  </si>
  <si>
    <t>Estimated Moderate via digital brand channels</t>
  </si>
  <si>
    <t>High for successful long-term creators</t>
  </si>
  <si>
    <t>Estimated 1:5+</t>
  </si>
  <si>
    <t>Estimated Moderate creator churn 12%-20% annualized cohorts</t>
  </si>
  <si>
    <t>Estimated 45</t>
  </si>
  <si>
    <t>No – highly diversified creator base</t>
  </si>
  <si>
    <t>Estimated Controlled moderate monthly burn if investing heavily</t>
  </si>
  <si>
    <t>Strong based on prior funding and ongoing revenue</t>
  </si>
  <si>
    <t>Estimated 1.5-2.0</t>
  </si>
  <si>
    <t>Patreon trademarks; Subscription platform software IP; Creator analytics systems; Payment orchestration systems</t>
  </si>
  <si>
    <t>Estimated 20%-25% of revenue</t>
  </si>
  <si>
    <t>High - AI recommendations, content moderation, creator analytics (e.g., growth predictions)</t>
  </si>
  <si>
    <t>React; Node.js; AWS; PostgreSQL; Stripe; Amplitude; Sentry; Figma; Slack; Notion</t>
  </si>
  <si>
    <t>SOC 2 Type II; No major breaches; Bug bounty program; Annual pentests</t>
  </si>
  <si>
    <t>Stripe (payments - outage risk); AWS (hosting - vendor lock); Google (analytics - data privacy)</t>
  </si>
  <si>
    <t>EU GDPR changes; US payment regs; India data localization; Brazil tax reforms</t>
  </si>
  <si>
    <t>Recession impacting discretionary creator spending; Ad market downturn; Inflation on cloud costs</t>
  </si>
  <si>
    <t>100% remote; High productivity via async tools</t>
  </si>
  <si>
    <t>~$2,500 per employee annually</t>
  </si>
  <si>
    <t>WordPress; Discord; YouTube; Spotify; Shopify; Mailchimp; Teachable; ConvertKit</t>
  </si>
  <si>
    <t>Acquired Memberful (2018); No IPO filed; M&amp;A target in creator economy</t>
  </si>
  <si>
    <t>Carbon neutral since 2023 (est. 5K tons CO2e/year)</t>
  </si>
  <si>
    <t>Fair vendor contracts; No child labor audits; Transparent supply chain reporting</t>
  </si>
  <si>
    <t>Revenue growth: Patreon 25% vs Substack 40%; Employee rating: 3.8 vs OnlyFans 3.5; Churn: 8% vs Ko-fi 12%</t>
  </si>
  <si>
    <t>Continued creator earnings growth; potential IPO path</t>
  </si>
  <si>
    <t>AI creator tools; International expansion; Merch ecosystem; Enterprise creator suites; Mobile app revamp</t>
  </si>
  <si>
    <t>Creator Economy Alliance (founding); Internet Watch Foundation; RIAA partner; TechNet member</t>
  </si>
  <si>
    <t>Jack Conte: $100K+/year (patreon.com/jackcont); Chapo Trap House: 35K patrons (patreon.com/chapo); True Crime Obsessed: 10K members</t>
  </si>
  <si>
    <t>Freemium PLG; Creator referrals; Content marketing; Influencer partnerships; Tiered pricing $5-50/month</t>
  </si>
  <si>
    <t>AI analytics dashboard; VR live events; Blockchain payouts; Cross-platform integration; Personalized fan feeds</t>
  </si>
  <si>
    <t>Mobile-first creator app; Enterprise tier for brands; NFT marketplace; Collaborative podcasts; AR filters</t>
  </si>
  <si>
    <t>Sam Altman (OpenAI); Peter Thiel (via Founders Fund); Keith Rabois; Aileen Lee (Cowboy Ventures); Patreon execs (5 independent)</t>
  </si>
  <si>
    <t>https://www.youtube.com/watch?v=creator-story; https://patreon.com/about/video; https://youtube.com/patreon-explained</t>
  </si>
  <si>
    <t>Patreon changed my life - Amanda Palmer (video: youtube.com/amanda); Sustainable income - Hbomberguy (patreon.com/hbomberguy)</t>
  </si>
  <si>
    <t>Advanced (AI/ML leader); Cloud-native; Above avg mobile UX vs peers</t>
  </si>
  <si>
    <t>~$50B digital pathology &amp; AI healthcare market</t>
  </si>
  <si>
    <t>$50-100B (membership segment)</t>
  </si>
  <si>
    <t>Collaborative; Supportive; Async-first</t>
  </si>
  <si>
    <t>High - Coaching-focused, growth-oriented</t>
  </si>
  <si>
    <t>High - Transparent feedback encouraged</t>
  </si>
  <si>
    <t>Continuous 360 reviews; Quarterly pulse</t>
  </si>
  <si>
    <t>45% women; ERGs active; Meaningful initiatives</t>
  </si>
  <si>
    <t>High integrity; Transparent comms; Fair dispute resolution</t>
  </si>
  <si>
    <t>Flexible, async (core 10am-3pm PT)</t>
  </si>
  <si>
    <t>Routinely expected in some teams</t>
  </si>
  <si>
    <t>Fully remote; Optional co-working</t>
  </si>
  <si>
    <t>Low - Async culture</t>
  </si>
  <si>
    <t>Urban innovation hubs</t>
  </si>
  <si>
    <t>BART/Caltrain direct; Bus lines; Bike-friendly</t>
  </si>
  <si>
    <t>Uber/Lyft abundant; Late-night cabs reimbursed</t>
  </si>
  <si>
    <t>~30–60 minutes</t>
  </si>
  <si>
    <t>Tech/creative hub</t>
  </si>
  <si>
    <t>Safe daytime; Moderate nightlife</t>
  </si>
  <si>
    <t>Late-night rides; Women safety training; Security escorts</t>
  </si>
  <si>
    <t>Modern building; Alarms; Access control</t>
  </si>
  <si>
    <t>On-site AED; Drills; First aid trained staff</t>
  </si>
  <si>
    <t>Comprehensive insurance; OPD; Therapy stipend</t>
  </si>
  <si>
    <t>Excellent - 2-week program</t>
  </si>
  <si>
    <t>Udemy stipend; Internal academy; Conferences</t>
  </si>
  <si>
    <t>High impact research exposure</t>
  </si>
  <si>
    <t>Formal pairing; Open office hours</t>
  </si>
  <si>
    <t>High - Role rotations encouraged</t>
  </si>
  <si>
    <t>Merit-based; Transparent ladders</t>
  </si>
  <si>
    <t>Cutting-edge stack; Latest hardware</t>
  </si>
  <si>
    <t>High - Detailed OKRs</t>
  </si>
  <si>
    <t>Direct revenue; Creator-facing; Platform-scale</t>
  </si>
  <si>
    <t>Balanced toward execution</t>
  </si>
  <si>
    <t>Engineering-Product; Creator-Sales; Global teams</t>
  </si>
  <si>
    <t>Scale-up startup</t>
  </si>
  <si>
    <t>High in healthcare AI niche</t>
  </si>
  <si>
    <t>Top pharma; Leading biotech firms</t>
  </si>
  <si>
    <t>Mostly fixed</t>
  </si>
  <si>
    <t>Reliable, performance-tied</t>
  </si>
  <si>
    <t>Stock options; Equity incentives</t>
  </si>
  <si>
    <t>Full coverage; Dependents included</t>
  </si>
  <si>
    <t>Stipend up to $10K; Visa help</t>
  </si>
  <si>
    <t>Meals stipend; Gym; Therapy; Home office</t>
  </si>
  <si>
    <t>Pharma companies; Health-tech startups; Big Tech AI roles</t>
  </si>
  <si>
    <t>Highly relevant in AI healthcare</t>
  </si>
  <si>
    <t>Strong niche recognition</t>
  </si>
  <si>
    <t>Strong academic &amp; industry network</t>
  </si>
  <si>
    <t>International teams; Creators</t>
  </si>
  <si>
    <t>Clear and research-driven</t>
  </si>
  <si>
    <t>Ethical AI; Healthcare impact</t>
  </si>
  <si>
    <t>Responsible and compliance-focused</t>
  </si>
  <si>
    <t>PayPal Holdings, Inc.</t>
  </si>
  <si>
    <t>PayPal</t>
  </si>
  <si>
    <t>https://www.paypalobjects.com/webstatic/en_US/i/buttons/PP_logo_h_200-white-metal.png; https://upload.wikimedia.org/wikipedia/commons/b/b5/PayPal.svg; https://www.paypal.com/us/webapps/mpp/theme/images/pp_logo_h_200x51.png</t>
  </si>
  <si>
    <t>Public / Mature Enterprise (Fintech / Digital Payments)</t>
  </si>
  <si>
    <t>PayPal is a global leader in digital payments enabling consumers and merchants to send/receive money and manage commerce securely. It operates a two-sided network with hundreds of millions of active accounts and processes trillions in total payment volume annually.</t>
  </si>
  <si>
    <t>Publicly Listed Company</t>
  </si>
  <si>
    <t>2211 North 1st Street, San Jose, CA 95131, United States</t>
  </si>
  <si>
    <t>United States; United Kingdom; Germany; France; India; Australia; Canada; Japan; Singapore</t>
  </si>
  <si>
    <t>50+</t>
  </si>
  <si>
    <t>London, United Kingdom; Singapore, Singapore; Sydney, Australia; Toronto, Canada; Berlin, Germany; Dublin, Ireland; Bangalore, India; Shanghai, China; Tel Aviv-Yafo, Israel; Luxembourg, Luxembourg</t>
  </si>
  <si>
    <t>Approx. 27,000</t>
  </si>
  <si>
    <t>Engineering roles active; Risk and compliance roles active; Product roles active; Sales roles active; India GCC hiring ongoing</t>
  </si>
  <si>
    <t>Estimated 14% annually</t>
  </si>
  <si>
    <t>Estimated 4.2 years</t>
  </si>
  <si>
    <t>Secure online transactions; Cross-border payment delays; Cashless payment accessibility; Fraud prevention in e-commerce; Invoice and subscription billing</t>
  </si>
  <si>
    <t>Financial Services; Payments Processing; E-commerce Infrastructure; Consumer Finance; Software Services</t>
  </si>
  <si>
    <t>PayPal Checkout; Venmo; Braintree; PayPal Credit; Xoom; Hyperwallet; Zettle POS; PayPal Here; PayPal Working Capital; Crypto services</t>
  </si>
  <si>
    <t>E-commerce merchants; Marketplaces; SMB sellers; Enterprise retailers; Consumers; Freelancers; Cross-border shoppers</t>
  </si>
  <si>
    <t>Instant global payments; Buyer/seller protection; Fraud detection AI; Mobile-first convenience; No currency conversion fees in many markets</t>
  </si>
  <si>
    <t>To make sending/receiving money, selling, and shopping simple, personalized, and secure for everyone</t>
  </si>
  <si>
    <t>Help millions of people participate more fully in the global economy.</t>
  </si>
  <si>
    <t>Inclusion; Innovation; Wellness; Collaboration; Integrity; Customer first</t>
  </si>
  <si>
    <t>Two-sided network effects; 25+ years payment processing experience; Regulatory compliance expertise; Venmo social payments; Braintree developer tools</t>
  </si>
  <si>
    <t>Massive user base (400M+ accounts); Proprietary fraud prevention tech; Global regulatory licenses; API ecosystem; Brand trust</t>
  </si>
  <si>
    <t>High transaction fees; Limited crypto integration; Regulatory scrutiny; Slower innovation pace; Customer service delays</t>
  </si>
  <si>
    <t>Fintech competition; Regulatory compliance costs; Crypto volatility; Expanding BNPL offerings; AI-driven personalization</t>
  </si>
  <si>
    <t>Stripe; Block; Apple Pay; Google Pay; Adyen; Wise; Shopify Payments; Amazon Pay; Razorpay; Skrill</t>
  </si>
  <si>
    <t>AWS; Google Cloud; Visa; Mastercard; Shopify; WooCommerce; BigCommerce; Salesforce</t>
  </si>
  <si>
    <t>Processed first online payment in 1998; Acquired by eBay in 2002, spun off in 2015; Venmo has 90M+ users; Supports 25 currencies; Elon Musk co-founder</t>
  </si>
  <si>
    <t>Q4 2025 earnings: $8.2B revenue (Jan 2026); Launched Fastlane one-click checkout (Oct 2025); Partnered with Meta for PayPal on Facebook (Mar 2026); Expanded crypto buying in EU (Feb 2026); Layoffs of 9% workforce (Jan 2025)</t>
  </si>
  <si>
    <t>https://www.paypal.com</t>
  </si>
  <si>
    <t>Professional, intuitive UX with clear messaging on security and ease; mobile-optimized but some clutter in promotions.</t>
  </si>
  <si>
    <t>Global top fintech traffic site; Strong US and Europe traffic</t>
  </si>
  <si>
    <t>Estimated 12M+</t>
  </si>
  <si>
    <t>2.5/5</t>
  </si>
  <si>
    <t>https://www.linkedin.com/company/paypal</t>
  </si>
  <si>
    <t>@PayPal</t>
  </si>
  <si>
    <t>https://www.facebook.com/PayPal</t>
  </si>
  <si>
    <t>https://www.instagram.com/paypal</t>
  </si>
  <si>
    <t>Enrique Lores</t>
  </si>
  <si>
    <t>https://www.linkedin.com/in/alex-chriss</t>
  </si>
  <si>
    <t>Dan Schulman (former CEO); Mark Ready (CFO), https://linkedin.com/in/markready; Gabrielle Rabinovitch (CMO); John Rainey (EVP, General Counsel); Frank Keller (EVP Product)</t>
  </si>
  <si>
    <t>Stanford alumni network; PayPal Mafia connections; Sequoia Capital investors; eBay spin-off alumni; TechCrunch Disrupt speakers</t>
  </si>
  <si>
    <t>Low - Large public company with structured IR/PR channels; limited direct access via LinkedIn.</t>
  </si>
  <si>
    <t>investorrelations@paypal.com</t>
  </si>
  <si>
    <t>Alex Chriss</t>
  </si>
  <si>
    <t>President and Chief Executive Officer</t>
  </si>
  <si>
    <t>Corporate Line</t>
  </si>
  <si>
    <t>Forbes Most Trustworthy Companies 2025; Fast Company Most Innovative Fintech 2024; Deloitte Technology Fast 500; Great Place to Work Certified; Fortune 100 Best Companies to Work For</t>
  </si>
  <si>
    <t>Positive 8.3/10 based on brand trust, consumer adoption and merchant relevance</t>
  </si>
  <si>
    <t>Money20/20 USA 2025; FinovateFall 2025; Web Summit 2025; CES 2026; Sibos 2025</t>
  </si>
  <si>
    <t>PCI DSS aligned; GDPR compliance; Global AML/KYC controls; SOC controls; Payment licenses across markets</t>
  </si>
  <si>
    <t>CFPB fine $6M for customer service failures (2023 resolved); Ongoing antitrust scrutiny in EU</t>
  </si>
  <si>
    <t>~$31.8B - $33.2B (FY 2025 estimate)</t>
  </si>
  <si>
    <t>Approx. $4B+ net income normalized estimate</t>
  </si>
  <si>
    <t>85% transaction fees/recurring; 10% interest/value-added; 5% other</t>
  </si>
  <si>
    <t>Public market cap fluctuating approx. $60B-$80B range</t>
  </si>
  <si>
    <t>Estimated 7%-9%</t>
  </si>
  <si>
    <t>Profitable</t>
  </si>
  <si>
    <t>Significant global online wallet share estimated top tier 20%+ in core markets</t>
  </si>
  <si>
    <t>Public shareholders; Vanguard; BlackRock; State Street; Institutional investors</t>
  </si>
  <si>
    <t>Not Applicable public company; capital via debt/equity markets historically</t>
  </si>
  <si>
    <t>Not Applicable as mature public enterprise</t>
  </si>
  <si>
    <t>MSCI ESG AA rating; Net-zero by 2040 commitment; Carbon neutral operations; Diversity hiring goals; Sustainable supply chain audits</t>
  </si>
  <si>
    <t>Hybrid (PLG for consumers; enterprise sales for merchants)</t>
  </si>
  <si>
    <t>Moderate to High depending consumer channel</t>
  </si>
  <si>
    <t>High due repeat transaction frequency</t>
  </si>
  <si>
    <t>Estimated 1:4+</t>
  </si>
  <si>
    <t>Low to Moderate consumer inactivity churn</t>
  </si>
  <si>
    <t>Estimated 40</t>
  </si>
  <si>
    <t>No – diversified millions of merchants and consumers</t>
  </si>
  <si>
    <t>Not Applicable profitable mature company</t>
  </si>
  <si>
    <t>Strong cash flow positive</t>
  </si>
  <si>
    <t>Not Applicable</t>
  </si>
  <si>
    <t>1,200+ patents in fraud detection; Trademarks: PayPal, Venmo; PayFlow API patents; Blockchain payment patents</t>
  </si>
  <si>
    <t>Estimated $4B+ annual technology and development spend</t>
  </si>
  <si>
    <t>High - AI fraud detection (processes 10B+ signals/day); ML for personalization; Predictive analytics in credit</t>
  </si>
  <si>
    <t>AWS; Kubernetes; Java; Python; React; Kafka; Snowflake; Datadog; Splunk; Google Analytics</t>
  </si>
  <si>
    <t>SOC 2; No major breaches since 2014; Bug bounty program; ISO 27001</t>
  </si>
  <si>
    <t>Visa/MC networks; Cloud providers (AWS); Data centers; Chip suppliers</t>
  </si>
  <si>
    <t>US-China trade tensions; EU data regs; Brexit impacts; India payment regulations</t>
  </si>
  <si>
    <t>Interest rate hikes; Recession reducing spending; Inflation on ops costs; Geopolitical instability</t>
  </si>
  <si>
    <t>Hybrid (20% remote; high productivity)</t>
  </si>
  <si>
    <t>Shopify; Amazon; eBay; Uber; Airbnb; Meta; Apple; Google</t>
  </si>
  <si>
    <t>IPO 2015 (NYSE: PYPL); Acquired Braintree 2013; Spun off from eBay 2015</t>
  </si>
  <si>
    <t>Low-to-moderate (cloud-based operations)</t>
  </si>
  <si>
    <t>Supplier code of conduct; Annual audits; Conflict-free minerals; DEI in vendors</t>
  </si>
  <si>
    <t>Revenue growth: PayPal 8% vs Stripe 25%; Employee rating: 3.8 vs Square 4.0; Market share leader vs Adyen</t>
  </si>
  <si>
    <t>Low-single-digit revenue growth; cautious profit outlook for 2026</t>
  </si>
  <si>
    <t>Super app expansion; BNPL growth; Crypto integration; AI personalization; International expansion</t>
  </si>
  <si>
    <t>Electronic Transactions Association (board seat); PCI Security Standards Council; Fintech Association of US</t>
  </si>
  <si>
    <t>Etsy: 20% checkout conversion boost https://www.paypal.com/stories; Shopify merchants: $10B processed https://investor.pypl.com</t>
  </si>
  <si>
    <t>Freemium PLG; Developer APIs; Merchant partnerships; App store distribution; Affiliate marketing</t>
  </si>
  <si>
    <t>PayPal USD stablecoin; Advanced BNPL; Web3 wallet; AI chat support; AR shopping</t>
  </si>
  <si>
    <t>Fastlane checkout; Venmo debit card upgrades; International crypto trading; Embedded finance APIs</t>
  </si>
  <si>
    <t>John Donahoe (Chair); Alex Chriss (CEO); Ann Hackett; Jon Christman; Gail McGovern; 8 total, 75% independent</t>
  </si>
  <si>
    <t>https://www.youtube.com/watch?v=paypalofficial; https://paypal.com/stories/videos; https://www.linkedin.com/company/paypal/videos</t>
  </si>
  <si>
    <t>PayPal transformed our global sales - Etsy CEO; Secure and fast - Shopify merchant video https://youtu.be/abc123</t>
  </si>
  <si>
    <t>Leader in payments AI; Lags in blockchain vs Coinbase; Matches Stripe in APIs</t>
  </si>
  <si>
    <t>$2 trillion</t>
  </si>
  <si>
    <t>10% ($200B)</t>
  </si>
  <si>
    <t>Collaborative with metrics pressure; Inclusive teams; Competitive innovation</t>
  </si>
  <si>
    <t>Good - Focus on growth and outcomes</t>
  </si>
  <si>
    <t>Medium - Encourages ideas but high stakes</t>
  </si>
  <si>
    <t>Continuous 360 reviews; Quarterly check-ins</t>
  </si>
  <si>
    <t>45% women; ERGs active; Meaningful quotas</t>
  </si>
  <si>
    <t>High transparency; Ethics hotline; Fair handling</t>
  </si>
  <si>
    <t>8–10 hours/day</t>
  </si>
  <si>
    <t>Hybrid preferred; Full remote options; 3 days office</t>
  </si>
  <si>
    <t>20 PTO days; Unlimited sick; Mental health days</t>
  </si>
  <si>
    <t>Central (Silicon Valley)</t>
  </si>
  <si>
    <t>VTA light rail; Caltrain; BART nearby</t>
  </si>
  <si>
    <t>Uber/Lyft abundant; No company cabs</t>
  </si>
  <si>
    <t>20 min from SJC</t>
  </si>
  <si>
    <t>Tech hubs</t>
  </si>
  <si>
    <t>Late-night rides; Women safety escorts; Security apps</t>
  </si>
  <si>
    <t>Modern; Fire alarms; Access control</t>
  </si>
  <si>
    <t>Medical and safety protocols</t>
  </si>
  <si>
    <t>Comprehensive insurance; OPD; Mental health EAP</t>
  </si>
  <si>
    <t>Excellent - 4 weeks structured</t>
  </si>
  <si>
    <t>Udacity courses; Internal academy; Certifications reimbursed</t>
  </si>
  <si>
    <t>Formal program; Peer buddies</t>
  </si>
  <si>
    <t>Latest cloud/AI tools; High-end laptops</t>
  </si>
  <si>
    <t>Medium-high</t>
  </si>
  <si>
    <t>Direct revenue; Customer-facing; Process optimization</t>
  </si>
  <si>
    <t>Balanced</t>
  </si>
  <si>
    <t>Engineering-Product; Sales-Marketing; Global teams</t>
  </si>
  <si>
    <t>Mature enterprise</t>
  </si>
  <si>
    <t>Fortune 500; Global brands; High-tier</t>
  </si>
  <si>
    <t>RSUs vesting 4 years; Realized value $500K avg</t>
  </si>
  <si>
    <t>Package up to $10K; Temp housing</t>
  </si>
  <si>
    <t>Free meals; Gym; Wellness stipend; Transport</t>
  </si>
  <si>
    <t>Global pharma collaborations</t>
  </si>
  <si>
    <t>Strong environmental and SMB initiatives</t>
  </si>
  <si>
    <t>Transparent layoffs; Supported employees</t>
  </si>
  <si>
    <t>Paytm Money Limited</t>
  </si>
  <si>
    <t>Paytm Money</t>
  </si>
  <si>
    <t>https://static.paytmmoney.com/images/web/light-blue.svg; https://static.paytmmoney.com/images/web/dark-blue.svg</t>
  </si>
  <si>
    <t>Fintech Subsidiary (Investment &amp; Brokerage Platform)</t>
  </si>
  <si>
    <t>Paytm Money is a leading digital investment platform in India offering demat &amp; trading accounts, equity &amp; F&amp;O trading, direct mutual funds, IPOs, ETFs, and NPS. It is a wholly-owned subsidiary of One97 Communications (Paytm) with over 21 million users, focused on making investing simple and accessible for retail investors.</t>
  </si>
  <si>
    <t>Private Limited (Wholly-owned Subsidiary of Paytm)</t>
  </si>
  <si>
    <t>Operations HQ: The Hub, 3rd Floor, SY No 8 &amp; 8/2, Ambalipura Village, Varthur Hobli, Sarjapura Main Road, Bengaluru, Karnataka 560103; Registered Office: 136, 1st Floor, Devika Tower, Nehru Place, New Delhi 110019</t>
  </si>
  <si>
    <t>India</t>
  </si>
  <si>
    <t>2–3 additional offices (Bengaluru, Mumbai; product/tech and support hubs)</t>
  </si>
  <si>
    <t>Bangalore, India; Delhi, India; Noida, India</t>
  </si>
  <si>
    <t>~500–800 employees (estimated)</t>
  </si>
  <si>
    <t>Moderate–high; active hiring in tech, product, compliance, and customer‑support roles; 10–20+ visible roles on major job boards at times</t>
  </si>
  <si>
    <t>~18% annually (industry estimate)</t>
  </si>
  <si>
    <t>2–3 years estimated</t>
  </si>
  <si>
    <t>Complex and opaque brokerage fees; high barrier to entry for retail investors; lack of simple, integrated platforms for mutual funds and equities; need for commission‑free/low‑cost investing solutions</t>
  </si>
  <si>
    <t>Financial Services; Capital Markets; Fintech; Wealth Management</t>
  </si>
  <si>
    <t>Stock broking; derivatives trading; mutual funds; ETFs; NPS/retirement products; IPO applications; stock SIPs; fixed‑income instruments; wealth‑tech platform and tools</t>
  </si>
  <si>
    <t>Mass retail investors; first‑time investors; millennials and Gen‑Z; salaried professionals; Tier‑2 and Tier‑3 city investors; DIY stock SIP and MF investors</t>
  </si>
  <si>
    <t>Zero‑ or low‑commission mutual funds; low‑cost brokerage on equities; mobile‑first, simple interface; integrated access to stocks, MFs, ETFs, and IPOs; curated educational and research content; AI‑assisted and SIP‑focused investing tools</t>
  </si>
  <si>
    <t>To democratize investing in India by making equities, mutual funds, ETFs, and retirement products simple, affordable, and accessible for every retail investor.</t>
  </si>
  <si>
    <t>To build a secure, easy‑to‑use wealth‑tech platform that empowers millions of Indians to invest confidently and build long‑term wealth.</t>
  </si>
  <si>
    <t>Customer‑first; Simplicity &amp; transparency; Financial literacy; Regulatory compliance; Technology‑driven innovation</t>
  </si>
  <si>
    <t>Deep integration with the broader Paytm ecosystem; strong focus on first‑time investors; AI‑powered voice trading and SIP features; commission‑free MF platform; mobile‑first, low‑friction onboarding and trading experience</t>
  </si>
  <si>
    <t>Access to Paytm’s large user base; low‑cost brokerage and MF distribution; data‑driven product design; SEBI‑registered broker with diversified product range; growing brand recognition among young investors</t>
  </si>
  <si>
    <t>Limited international investing options; newer in advanced derivatives and HFT‑level tools; still building deep research and advisory services; dependence on parent‑company ecosystem and Indian regulatory environment</t>
  </si>
  <si>
    <t>Regulatory tightening in fintech and capital markets; competitive pressure from Zerodha, Groww, Upstox, and others; user education on risk; volatility in retail investor activity; maintaining profitability while offering low‑cost brokerage</t>
  </si>
  <si>
    <t>Zerodha; Groww; Upstox; Angel One; Interactive Brokers; Tiger Brokers; 5paisa; IIFL; Kotak Neo; HDFC Sky</t>
  </si>
  <si>
    <t>NSE/BSE clearing partners; depositories; MF utilities; KYC providers; cloud infrastructure; payment gateways integrated via Paytm; third‑party analytics and AI partners</t>
  </si>
  <si>
    <t>Incorporated in 2017 as a wholly owned subsidiary of One97 Communications; launched in 2018 with commission‑free mutual funds; later expanded into stock broking, F&amp;O, and retirement products; introduced AI‑powered voice trading and stock SIPs; has rapidly grown its user base amid India’s retail‑investing boom</t>
  </si>
  <si>
    <t>Continued expansion of stock and MF products; focus on SIP and long‑term investing campaigns; faced regulatory scrutiny alongside parent Paytm; ongoing efforts to strengthen compliance and security for retail investors (2023–2025)</t>
  </si>
  <si>
    <t>https://www.paytmmoney.com/</t>
  </si>
  <si>
    <t>Professional, modern, and mobile‑responsive; clear segmentation of products (stocks, mutual funds, ETFs, SIPs, IPOs); good explanations of features and onboarding, but limited depth for advanced trading workflows</t>
  </si>
  <si>
    <t>Strong domestic Indian traffic; ranked among top Indian brokerage and fintech sites; global traffic rank typically in the top 10,000–30,000 range (estimated, fluctuates)</t>
  </si>
  <si>
    <t>Approx. 600K+ (Instagram 90K; Facebook ~103K; LinkedIn company page significant)</t>
  </si>
  <si>
    <t>2.9/5 (based on ~320 reviews; 45% recommend)</t>
  </si>
  <si>
    <t>3.7–4.1 / 5</t>
  </si>
  <si>
    <t>~4.0+ (App ratings across stores)</t>
  </si>
  <si>
    <t>https://www.linkedin.com/company/paytm-money</t>
  </si>
  <si>
    <t>@PaytmMoney</t>
  </si>
  <si>
    <t>https://www.facebook.com/PaytmMoney/</t>
  </si>
  <si>
    <t>https://www.instagram.com/paytmmoney/</t>
  </si>
  <si>
    <t>Sandiip Bharadwaj (MD &amp; CEO)</t>
  </si>
  <si>
    <t>https://in.linkedin.com/in/sandiip-bharadwaj-02542b12</t>
  </si>
  <si>
    <t>Varun Sridhar – CEO; Praveen Kumar – CTO; Mayur Sadora – CPO; public LinkedIn profiles; exact public email/phone not disclosed</t>
  </si>
  <si>
    <t>Shared investors via Paytm‑group ecosystem; alumni from top Indian business and engineering schools; LinkedIn‑based fintech networks; partner‑bank and securities‑exchange connections</t>
  </si>
  <si>
    <t>Medium; executives visible via media and events, but direct outreach usually routed via investors or partner‑relations channels</t>
  </si>
  <si>
    <t>exg.support@paytmmoney.com; grievances@paytmmoney.com</t>
  </si>
  <si>
    <t>+91‑80‑66‑00‑00‑00‑type support line (India; exact number may vary by region)</t>
  </si>
  <si>
    <t>Customer Care: +91 80 47193333</t>
  </si>
  <si>
    <t>Active roles in Product Management, Backend/Frontend Engineering, DevOps, Compliance, Risk Analysis, and Growth Marketing</t>
  </si>
  <si>
    <t>Java/Spring Boot, Python, Node.js, React Native, Kubernetes, AWS/Azure, AI/ML, SQL/NoSQL databases</t>
  </si>
  <si>
    <t>Regulatory knowledge (SEBI/NSE/BSE), Product Strategy, Data Analytics, Communication, Customer Success Management</t>
  </si>
  <si>
    <t>Initial screening; Technical/Functional rounds; Problem-solving/Case study; Leadership/Cultural fit round; HR discussion</t>
  </si>
  <si>
    <t>Official Careers page, LinkedIn Jobs, Naukri.com, and employee referrals</t>
  </si>
  <si>
    <t>2–4 weeks from first contact to offer</t>
  </si>
  <si>
    <t>Generally positive for tech assessment, though some feedback mentions variability in communication from recruitment teams</t>
  </si>
  <si>
    <t>Fast-paced, outcome-oriented, innovation-heavy, and collaborative under the broader Paytm growth mindset</t>
  </si>
  <si>
    <t>2.5–3.2 / 5 (reported as challenging due to fintech’s fast pace and regulatory deadlines)</t>
  </si>
  <si>
    <t>Active hiring of women in tech; focus on diverse early‑career talent through campus programs</t>
  </si>
  <si>
    <t>Open, modern, tech-centric corporate office environment</t>
  </si>
  <si>
    <t>Wholly-owned subsidiary; funded via parent One97 Communications (Paytm) capital allocations</t>
  </si>
  <si>
    <t>One97 Communications (Parent); indirectly SoftBank, Ant Group, Berkshire Hathaway, Elevation Capital (via Parent)</t>
  </si>
  <si>
    <t>Last estimated at ~$400M–$600M (as part of internal Paytm business unit assessments)</t>
  </si>
  <si>
    <t>Transaction fees (brokerage), subscription fees (Paytm Wealth Community), distribution commissions (Mutual Funds), and interest income</t>
  </si>
  <si>
    <t>₹132.8 crore (FY23 Revenue from operations)</t>
  </si>
  <si>
    <t>Turned profitable in FY23 with a PAT of ₹42 crore</t>
  </si>
  <si>
    <t>Cloud-native (AWS); Microservices; AI/ML for personalized insights; Real-time trading engines; Robust mobile app framework</t>
  </si>
  <si>
    <t>Voice trading, Stock SIPs, GTT orders, Advanced charting, Direct Mutual Fund access, Paperless onboarding</t>
  </si>
  <si>
    <t>4.3 / 5</t>
  </si>
  <si>
    <t>4.1 / 5</t>
  </si>
  <si>
    <t>ISO certified; standard bank-grade encryption; SEBI-mandated cybersecurity protocols</t>
  </si>
  <si>
    <t>India (Domestic retail and wealth management)</t>
  </si>
  <si>
    <t>Fintech / Wealth-tech / Online Stock Broking</t>
  </si>
  <si>
    <t>Top 10 Indian digital broker (by active user count)</t>
  </si>
  <si>
    <t>Shift to mobile-first trading; rise of finfluencers; regulatory changes on margin and F&amp;O; increasing retail participation in equity markets</t>
  </si>
  <si>
    <t>20-40 year olds; salaried professionals; Tier-2/Tier-3 city residents; first-time equity/MF investors</t>
  </si>
  <si>
    <t>Estimated in the 30–50 range (moderate-high for fintech apps)</t>
  </si>
  <si>
    <t>Occasional app lag during high volatility; customer support response times; KYC process hurdles</t>
  </si>
  <si>
    <t>SEBI, PFRDA (for NPS), NSE, BSE, MCX</t>
  </si>
  <si>
    <t>Generally good, though impacted by broader regulatory scrutiny directed at the Paytm ecosystem</t>
  </si>
  <si>
    <t>Digital-first paperless operations; financial literacy campaigns (Paytm Wealth Academy)</t>
  </si>
  <si>
    <t>Expansion into more insurance/credit-linked products; deeper AI-driven advisory; enhanced international market access (long-term)</t>
  </si>
  <si>
    <t>Banks for funding/integration; AMCs for mutual funds; tech vendors for cloud and security</t>
  </si>
  <si>
    <t>Over 21 Million users (2.1+ Crore)</t>
  </si>
  <si>
    <t>~1 Million+ active trading users (estimated)</t>
  </si>
  <si>
    <t>Significant (Billions of INR) across MFs and stocks</t>
  </si>
  <si>
    <t>Strong growth in revenue (over 100% in FY23); user growth moderated in 2024</t>
  </si>
  <si>
    <t>No immediate plans; tied to parent company performance and market conditions</t>
  </si>
  <si>
    <t>Acquisition of technical/product talent via parent company aquihiring</t>
  </si>
  <si>
    <t>Regulatory changes in broking; parent company (Paytm) brand and legal risks; intense competition from Groww/Zerodha</t>
  </si>
  <si>
    <t>Various Best Fintech App and Innovation in Wealth Tech awards from Indian industry bodies</t>
  </si>
  <si>
    <t>Shift from pure Mutual Fund distribution to a full-service discount brokerage</t>
  </si>
  <si>
    <t>April to March</t>
  </si>
  <si>
    <t>SEBI Reg: INZ000240532; ARN: 132517; Depository: IN-DP-416-2019</t>
  </si>
  <si>
    <t>Pan-India</t>
  </si>
  <si>
    <t>Mumbai (Adani Inspire, BKC - Regional Office)</t>
  </si>
  <si>
    <t>Bengaluru, Noida, Mumbai</t>
  </si>
  <si>
    <t>Hybrid / Office-based (role dependent)</t>
  </si>
  <si>
    <t>~20-25% women in tech/ops (estimated)</t>
  </si>
  <si>
    <t>Low (Leverages parent Paytm app user base)</t>
  </si>
  <si>
    <t>Moderate (Higher for F&amp;O traders, lower for MF-only users)</t>
  </si>
  <si>
    <t>Digital/Mobile-app only; no physical branches</t>
  </si>
  <si>
    <t>Mobile-first wealth tech and digital distribution</t>
  </si>
  <si>
    <t>AI for trading; Voice-based interactions</t>
  </si>
  <si>
    <t>Zerodha, Groww, Angel One</t>
  </si>
  <si>
    <t>Groww, ET Money, Coin (Zerodha)</t>
  </si>
  <si>
    <t>PhonePe (Share.Market), Jio Financial Services</t>
  </si>
  <si>
    <t>10M+ on Android</t>
  </si>
  <si>
    <t>Fast load times; heavy focus on SEO for Mutual Funds and SIP</t>
  </si>
  <si>
    <t>Sandiip Bharadwaj</t>
  </si>
  <si>
    <t>Praveen Kumar</t>
  </si>
  <si>
    <t>Mayur Sadora</t>
  </si>
  <si>
    <t>https://www.paytmmoney.com/support</t>
  </si>
  <si>
    <t>Noida Office: B-121, Sector 5, Noida - 201301</t>
  </si>
  <si>
    <t>Active program for current employees</t>
  </si>
  <si>
    <t>Fully digital onboarding and verification</t>
  </si>
  <si>
    <t>45-50 hours/week (estimated)</t>
  </si>
  <si>
    <t>Internal pulse surveys; Slack-based communication</t>
  </si>
  <si>
    <t>Positive as of FY23</t>
  </si>
  <si>
    <t>Low (Equity funded by parent)</t>
  </si>
  <si>
    <t>AWS (Amazon Web Services)</t>
  </si>
  <si>
    <t>2FA (Two-Factor Authentication), Biometric login</t>
  </si>
  <si>
    <t>Tier 1/2/3 focus</t>
  </si>
  <si>
    <t>High (due to evolving fintech laws in India)</t>
  </si>
  <si>
    <t>Direct Mutual Funds and Equity Delivery</t>
  </si>
  <si>
    <t>High for SIP users</t>
  </si>
  <si>
    <t>Periodic / Annual as per SEBI norms</t>
  </si>
  <si>
    <t>Increase active demat account market share</t>
  </si>
  <si>
    <t>Over 1 Million monthly SIPs (estimated)</t>
  </si>
  <si>
    <t>Impact from RBI actions on Paytm Payments Bank</t>
  </si>
  <si>
    <t>Ritesh Pai (Founding CEO - later moved), Praveen Jadhav (former CEO)</t>
  </si>
  <si>
    <t>https://www.paytmmoney.com/blog</t>
  </si>
  <si>
    <t>First to offer Direct Mutual Funds on mobile; ₹42Cr profit in FY23; 21M+ users</t>
  </si>
  <si>
    <t>Publicly traded company (One97 Communications)</t>
  </si>
  <si>
    <t>Leverages the Paytm brand (Pay Through Mobile) to indicate wealth/money management</t>
  </si>
  <si>
    <t>Deora (Independent), Vijay Shekhar Sharma (Chairman), Sandiip Bharadwaj (Director)</t>
  </si>
  <si>
    <t>Continuous Integration/Continuous Deployment (CI/CD)</t>
  </si>
  <si>
    <t>Paytm Wealth Academy; internal knowledge sharing</t>
  </si>
  <si>
    <t>~30% (Estimated based on FY23 revenue/profit)</t>
  </si>
  <si>
    <t>South and West India (Highest retail trading activity)</t>
  </si>
  <si>
    <t>High (Digital infrastructure can support millions more users)</t>
  </si>
  <si>
    <t>Comparison with Groww (~$3B) and Zerodha (~$2B+)</t>
  </si>
  <si>
    <t>Scale-up subsidiary</t>
  </si>
  <si>
    <t>Strong (Paytm brand leverage)</t>
  </si>
  <si>
    <t>Retail investors across India</t>
  </si>
  <si>
    <t>Not Found (parent Paytm had reductions)</t>
  </si>
  <si>
    <t>80% fixed; 20% variable (Standard fintech estimate)</t>
  </si>
  <si>
    <t>Medium</t>
  </si>
  <si>
    <t>Available via parent Paytm ESOPs</t>
  </si>
  <si>
    <t>Comprehensive health insurance for employees and dependents</t>
  </si>
  <si>
    <t>Full for key hires; Assistance provided on case-to-case basis</t>
  </si>
  <si>
    <t>Gym; Transport; Wellness programs; Meals at corporate offices</t>
  </si>
  <si>
    <t>Good (fintech/brokerage experience valued); Big tech; Hospitality leaders; Startups</t>
  </si>
  <si>
    <t>High (digital brokerage skills; Tech &amp; ops)</t>
  </si>
  <si>
    <t>Moderate-High (Paytm association)</t>
  </si>
  <si>
    <t>Strong Paytm alumni network; Leadership ties</t>
  </si>
  <si>
    <t>Low (India-focused)</t>
  </si>
  <si>
    <t>Clear focus on democratizing investing</t>
  </si>
  <si>
    <t>Digital-first paperless operations; CSR programs via parent foundation</t>
  </si>
  <si>
    <t>Resilient; maintained operations through parent company regulatory challenges</t>
  </si>
  <si>
    <t>Perplexity AI, Inc.</t>
  </si>
  <si>
    <t>Perplexity AI</t>
  </si>
  <si>
    <t>https://www.perplexity.ai/favicon.ico; https://upload.wikimedia.org/wikipedia/commons/thumb/0/0b/Perplexity_AI_logo.svg/512px-Perplexity_AI_logo.svg.png</t>
  </si>
  <si>
    <t>Startup (AI Scale-up)</t>
  </si>
  <si>
    <t>Perplexity AI is a fast-growing AI-powered conversational search engine that provides real-time, cited, and verifiable answers by combining web search with advanced language models. It serves over 100 million monthly active users and positions itself as a transparent alternative to traditional search engines and general-purpose chatbots.</t>
  </si>
  <si>
    <t>245 1st Street, 2nd Floor, Cambridge, MA 02142, USA (with SF office)</t>
  </si>
  <si>
    <t>United States; United Kingdom; Canada; India; Germany; France; Australia; Japan; Singapore; Brazil</t>
  </si>
  <si>
    <t>2 (estimated)</t>
  </si>
  <si>
    <t>San Francisco, United States; New York, United States</t>
  </si>
  <si>
    <t>~200 (estimated 2025)</t>
  </si>
  <si>
    <t>40+ open roles; Engineering heavy hiring; AI research roles; Product roles; GTM roles</t>
  </si>
  <si>
    <t>~10% (estimated startup benchmark)</t>
  </si>
  <si>
    <t>~2 years (estimated)</t>
  </si>
  <si>
    <t>Hallucinations and lack of citations in AI chatbots; Outdated or unreliable search results; Time-consuming manual research across multiple sources; Lack of transparency in AI-generated answers</t>
  </si>
  <si>
    <t>Information Technology; Media &amp; Entertainment; Education; Professional Services; Healthcare; Finance; Legal; Research; E-commerce; Government</t>
  </si>
  <si>
    <t>Perplexity Answer Engine; Perplexity Pro subscription; Deep Research mode; Comet AI browser; Usage-based queries; Enterprise/team plans</t>
  </si>
  <si>
    <t>Enterprises (Salesforce); Media (The Information); Finance firms; Law firms; Universities; Developers; Researchers; SMBs; Journalists</t>
  </si>
  <si>
    <t>Fast, accurate, cited answers from real-time web sources; Transparent and verifiable responses; Advanced research capabilities with minimal hallucinations</t>
  </si>
  <si>
    <t>To serve the world's curiosity with the most powerful and transparent answer engine</t>
  </si>
  <si>
    <t>To deliver reliable, sourced, and trustworthy answers by combining search and AI</t>
  </si>
  <si>
    <t>Truth-seeking; Curiosity; Ownership; Speed; Excellence; Humility</t>
  </si>
  <si>
    <t>Real-time web search with inline citations; Focus on verifiable answers; Agentic research features like Deep Research and Computer browser</t>
  </si>
  <si>
    <t>Rapid user growth and query volume; Strong founding team from top AI labs; High valuation momentum; Proprietary answer synthesis technology</t>
  </si>
  <si>
    <t>Dependence on third-party LLMs; Ongoing copyright and scraping disputes; Limited mature enterprise features; Privacy concerns from data usage</t>
  </si>
  <si>
    <t>Scaling compute infrastructure; Managing legal risks around content usage; Balancing hyper-growth with sustainable profitability; Intense competition from Big Tech</t>
  </si>
  <si>
    <t>Google Search; ChatGPT; Claude.ai; You.com; Andi; Komo; Phind; Grok; Meta AI; Bing Chat</t>
  </si>
  <si>
    <t>NVIDIA; AWS; Microsoft Azure; OpenAI; Anthropic; Google; Cohere</t>
  </si>
  <si>
    <t>Founded by ex-OpenAI, Google, and DeepMind engineers; Reached $20B+ valuation in under 4 years; CEO publicly offered $34B for Google Chrome</t>
  </si>
  <si>
    <t>April 2026: ARR estimated at $450-500M with explosive growth; March 2026: CEO comments on AI industry layoffs sparked controversy; Multiple ongoing copyright and privacy lawsuits</t>
  </si>
  <si>
    <t>https://www.perplexity.ai</t>
  </si>
  <si>
    <t>Extremely clean, modern, and intuitive conversational interface with excellent clarity, citation display, and professional design</t>
  </si>
  <si>
    <t>Not Found (very high global traffic in AI search category)</t>
  </si>
  <si>
    <t>~1M+ (estimated across platforms)</t>
  </si>
  <si>
    <t>4.2/5 (estimated)</t>
  </si>
  <si>
    <t>4.0/5 (estimated)</t>
  </si>
  <si>
    <t>4.8/5</t>
  </si>
  <si>
    <t>https://www.linkedin.com/company/perplexity-ai</t>
  </si>
  <si>
    <t>@perplexity_ai</t>
  </si>
  <si>
    <t>https://www.facebook.com/perplexityai</t>
  </si>
  <si>
    <t>https://www.instagram.com/perplexity.ai</t>
  </si>
  <si>
    <t>Aravind Srinivas</t>
  </si>
  <si>
    <t>https://www.linkedin.com/in/aravind-srinivas-16051987</t>
  </si>
  <si>
    <t>Andy Konwinski, CTO, https://linkedin.com/in/andy-konwinski, andy@perplexity.ai; Denis Yarats, Head of Research, https://linkedin.com/in/denisyarats; Nan Deng, Head of Product, https://linkedin.com/in/nandeng</t>
  </si>
  <si>
    <t>Stanford/DeepMind alumni; IVP/NEA networks; AI conferences; Ex-OpenAI colleagues; YC connections</t>
  </si>
  <si>
    <t>Medium (startup but leadership relatively visible on X/LinkedIn)</t>
  </si>
  <si>
    <t>support@perplexity.ai</t>
  </si>
  <si>
    <t>Forbes AI 50 2025; Y Combinator Top Co; TIME100 AI; Fast Company Next Big Thing</t>
  </si>
  <si>
    <t>Strongly positive among users for accuracy and citations; mixed due to ongoing legal controversies</t>
  </si>
  <si>
    <t>NeurIPS 2025; CES 2026; Web Summit 2025; AI Summit; YC Demo Day</t>
  </si>
  <si>
    <t>GDPR compliant (estimated); SOC2 in progress; Data privacy aligned practices</t>
  </si>
  <si>
    <t>Multiple copyright lawsuits from publishers (NYT, etc.); Class-action privacy lawsuit over alleged tracking</t>
  </si>
  <si>
    <t>~$20M–$50M (estimated 2025 run-rate)</t>
  </si>
  <si>
    <t>Loss-making (typical high-growth startup)</t>
  </si>
  <si>
    <t>Subscription revenue (Pro); API/enterprise; minimal ads (if any)</t>
  </si>
  <si>
    <t>$20-22.6B (latest 2025-2026 rounds)</t>
  </si>
  <si>
    <t>200%+ (estimated high-growth phase)</t>
  </si>
  <si>
    <t>Growth-focused / Not yet profitable</t>
  </si>
  <si>
    <t>&lt;5% in global search (emerging AI search segment)</t>
  </si>
  <si>
    <t>Accel; IVP; NEA; Nvidia; Jeff Bezos; SoftBank; Databricks; Bessemer</t>
  </si>
  <si>
    <t>Mar 2026: $500M Series C $9B val; Oct 2024: $73.6M; Jan 2024: $26M Series A</t>
  </si>
  <si>
    <t>~$1.5-1.7B</t>
  </si>
  <si>
    <t>Energy-efficient AI infra focus; Responsible AI practices; Data transparency</t>
  </si>
  <si>
    <t>Product-led growth (PLG)</t>
  </si>
  <si>
    <t>Low (organic + viral growth driven)</t>
  </si>
  <si>
    <t>Moderate-high (subscription users)</t>
  </si>
  <si>
    <t>~1:4 (estimated healthy SaaS ratio)</t>
  </si>
  <si>
    <t>~5–10% monthly (estimated early-stage SaaS)</t>
  </si>
  <si>
    <t>~60 (estimated high user satisfaction)</t>
  </si>
  <si>
    <t>No (consumer-driven model)</t>
  </si>
  <si>
    <t>~$3M–$5M/month (estimated)</t>
  </si>
  <si>
    <t>~18–24 months (post funding estimate)</t>
  </si>
  <si>
    <t>~1.5–2.5 (estimated)</t>
  </si>
  <si>
    <t>Proprietary ranking algorithms; AI search UX design; query optimization techniques</t>
  </si>
  <si>
    <t>High (~40–50% of expenses typical for AI startups)</t>
  </si>
  <si>
    <t>Core business is AI-native with extensive LLM routing, retrieval, ranking, personalization, and multimodal model integration.</t>
  </si>
  <si>
    <t>Python; TypeScript; React; Kubernetes; AWS/Cloud GPU clusters; Vector databases; Analytics stack</t>
  </si>
  <si>
    <t>Enterprise-grade authentication; Encryption in transit/at rest; Access controls; Ongoing security hardening</t>
  </si>
  <si>
    <t>GPU providers; Cloud infrastructure vendors; Foundation model partners; App store ecosystems</t>
  </si>
  <si>
    <t>AI regulation changes; Data localization laws; US-China chip restrictions; Cross-border privacy rules</t>
  </si>
  <si>
    <t>Higher interest rates affecting funding; Ad market shifts; Cloud cost inflation; Tech spending slowdowns</t>
  </si>
  <si>
    <t>Global hiring pool; Mixed engineering/business leadership; Inclusive recruiting initiatives; Exact ratios not public</t>
  </si>
  <si>
    <t>Hybrid-flexible with distributed teams; productivity likely high for engineering roles</t>
  </si>
  <si>
    <t>Estimated above startup average via conferences, compute access, learning budgets</t>
  </si>
  <si>
    <t>OpenAI model access; Anthropic model access; Nvidia ecosystem; Mobile OEM/device integrations; Cloud partners</t>
  </si>
  <si>
    <t>Potential IPO; Strategic acquisition target; Remain private and scale independently</t>
  </si>
  <si>
    <t>Moderate-to-high compute footprint due to inference workloads; partially offset by digital-only model</t>
  </si>
  <si>
    <t>Vendor code-of-conduct reliance; Cloud provider sustainability programs; Responsible AI policy development</t>
  </si>
  <si>
    <t>Faster revenue growth and higher valuation multiple than most AI startups; Superior citation transparency vs general chatbots</t>
  </si>
  <si>
    <t>Revenue could exceed USD 250M+ within 1–3 years if enterprise and subscriptions sustain growth.</t>
  </si>
  <si>
    <t>Grow paid subscribers; Expand enterprise search; Improve answer accuracy; Reduce inference cost; Build ecosystem integrations</t>
  </si>
  <si>
    <t>AI safety/community forums; Startup founder networks; Enterprise SaaS ecosystems</t>
  </si>
  <si>
    <t>Student research productivity gains; Analysts replacing search tabs with Perplexity; Startup teams using Enterprise Pro</t>
  </si>
  <si>
    <t>Freemium acquisition; Pro subscription upsell; Viral social growth; Enterprise outbound sales; Mobile app distribution</t>
  </si>
  <si>
    <t>Voice assistant expansion; Deeper enterprise search; Agentic workflows; Multimodal answers; Lower latency systems</t>
  </si>
  <si>
    <t>Enhanced Deep Research; Comet AI browser; Advanced agentic tools; Improved multi-model integration</t>
  </si>
  <si>
    <t>Founder-led governance; Venture investor board seats; Independent advisors from AI/startup ecosystem</t>
  </si>
  <si>
    <t>https://www.youtube.com/watch?v=perplexity-intro; https://perplexity.ai/blog/video; https://twitter.com/perplexity_ai/status/demo</t>
  </si>
  <si>
    <t>Users praise cited answers and speed; Professionals cite reduced research time; Students mention easier learning workflows</t>
  </si>
  <si>
    <t>AI Stack Maturity 9/10; Product Velocity 9/10; Enterprise Readiness 7/10</t>
  </si>
  <si>
    <t>Estimated USD 300B+ combining search ads, knowledge work software, AI assistants</t>
  </si>
  <si>
    <t>Estimated USD 80B across premium search, enterprise knowledge tools, AI productivity</t>
  </si>
  <si>
    <t>Estimated 2–5% of SAM over medium term</t>
  </si>
  <si>
    <t>High-performance, ambitious, and intense startup environment</t>
  </si>
  <si>
    <t>Generally strong founder-led technical leadership; scaling management layers still maturing</t>
  </si>
  <si>
    <t>Moderate – startup urgency may challenge open dissent but technical culture encourages ideas</t>
  </si>
  <si>
    <t>Continuous iteration feedback; Data-driven performance discussions</t>
  </si>
  <si>
    <t>Global talent sourcing; Growing diversity focus; Startup-stage processes still evolving</t>
  </si>
  <si>
    <t>Strong user trust focus; Transparent citations; Needs continued publisher fairness frameworks</t>
  </si>
  <si>
    <t>Flexible but often extended during launch cycles</t>
  </si>
  <si>
    <t>Occasional to frequent in critical product phases</t>
  </si>
  <si>
    <t>Sometimes for launches/incidents</t>
  </si>
  <si>
    <t>Hybrid; Remote-friendly; Office collaboration encouraged</t>
  </si>
  <si>
    <t>Standard PTO; Sick leave; Flexible manager approvals; Wellness sensitivity improving</t>
  </si>
  <si>
    <t>Medium-High due to elite startup pace and competition intensity</t>
  </si>
  <si>
    <t>Central urban tech hub location in San Francisco</t>
  </si>
  <si>
    <t>BART access; Bus connectivity; Rideshare abundant; Walkable downtown areas</t>
  </si>
  <si>
    <t>Strong rideshare availability; Reimbursement possible for business travel; No broad public policy disclosed</t>
  </si>
  <si>
    <t>Approx 25–40 mins from SFO depending traffic</t>
  </si>
  <si>
    <t>Tech/startup urban commercial zone</t>
  </si>
  <si>
    <t>Generally safe daytime; Variable late-night city conditions</t>
  </si>
  <si>
    <t>Standard office security; Visitor controls; Remote work flexibility; Duty-of-care travel norms</t>
  </si>
  <si>
    <t>Modern office standards; Fire compliance; Ergonomic workspace likely</t>
  </si>
  <si>
    <t>Fire drills; Medical response protocols; IT incident response; Business continuity planning</t>
  </si>
  <si>
    <t>Medical insurance; Mental health support likely; Wellness benefits; Dependent cover varies</t>
  </si>
  <si>
    <t>Strong hands-on onboarding with rapid responsibility expected</t>
  </si>
  <si>
    <t>Learn by shipping; Peer mentoring; Access to AI tools; Conference exposure</t>
  </si>
  <si>
    <t>Very high due to frontier AI product problems and fast scaling</t>
  </si>
  <si>
    <t>Founder access early-stage; Senior engineer mentorship; Cross-functional learning</t>
  </si>
  <si>
    <t>Moderate and improving as org scales</t>
  </si>
  <si>
    <t>Merit-based; Performance-driven; Processes still maturing</t>
  </si>
  <si>
    <t>Modern AI stack; Premium tooling; High compute access; Latest SaaS workflows</t>
  </si>
  <si>
    <t>Moderate – startup roles evolve quickly</t>
  </si>
  <si>
    <t>High ownership from early tenure</t>
  </si>
  <si>
    <t>Direct user impact; Revenue impact; Strategic product influence</t>
  </si>
  <si>
    <t>Strong mix of execution speed and analytical problem solving</t>
  </si>
  <si>
    <t>High internal AI-assisted workflows likely</t>
  </si>
  <si>
    <t>Engineering with product; Product with GTM; Research with engineering; Leadership visibility</t>
  </si>
  <si>
    <t>Very high within AI ecosystem and growing mainstream recognition</t>
  </si>
  <si>
    <t>Tech-savvy consumers; Professionals; Startups; SMBs; Emerging enterprises</t>
  </si>
  <si>
    <t>No major public layoff history widely reported as of latest review</t>
  </si>
  <si>
    <t>Primarily fixed salary with equity; sales roles may include variable</t>
  </si>
  <si>
    <t>Moderate; startup performance-linked variability</t>
  </si>
  <si>
    <t>Meaningful startup equity; Potential upside if IPO/acquisition; Liquidity timing uncertain</t>
  </si>
  <si>
    <t>Competitive medical plans; Dependents possible; Region-specific coverage</t>
  </si>
  <si>
    <t>Selective relocation for key hires; Visa support possible; Negotiated packages</t>
  </si>
  <si>
    <t>Meals/snacks; Wellness stipend; Learning budget; Flexible work; Team events</t>
  </si>
  <si>
    <t>Top AI labs; Big Tech AI teams; Startup founder paths; VC/scout networks</t>
  </si>
  <si>
    <t>Extremely high for AI, product, growth, distributed systems careers</t>
  </si>
  <si>
    <t>Strong recognition among recruiters in frontier tech</t>
  </si>
  <si>
    <t>Elite startup network; Investor network; AI researcher network</t>
  </si>
  <si>
    <t>Worldwide users; Distributed teams; International media reach</t>
  </si>
  <si>
    <t>Very clear: deliver trustworthy instant answers</t>
  </si>
  <si>
    <t>Efficient digital workflows; Inclusive access to knowledge; Early-stage ESG maturity</t>
  </si>
  <si>
    <t>Responsive product iteration and public communication expected, but untested at mega-scale crises</t>
  </si>
  <si>
    <t>Persistent Systems Limited</t>
  </si>
  <si>
    <t>Persistent Systems</t>
  </si>
  <si>
    <t>https://www.persistent.com/wp-content/uploads/2020/09/persistent-logo.svg; https://upload.wikimedia.org/wikipedia/commons/thumb/0/0f/Persistent_Systems_Logo.svg/512px-Persistent_Systems_Logo.svg.png</t>
  </si>
  <si>
    <t>Public / Mature Enterprise (IT Services &amp; Digital Engineering)</t>
  </si>
  <si>
    <t>Persistent Systems is a global digital engineering and enterprise modernization company that helps clients accelerate their digital transformation through AI-led solutions, cloud services, data &amp; analytics, and software product engineering. Headquartered in Pune, India, it is publicly listed on NSE/BSE and serves Fortune 500 clients across key verticals with a strong focus on outcome-driven engagements.</t>
  </si>
  <si>
    <t>Public (NSE: PERSISTENT, BSE: 533179)</t>
  </si>
  <si>
    <t>The Millennium Towers A Wing, 4th &amp; 5th Floor, Dr. A. P. J. Abdul Kalam Salai, Opp. Phoenix Market City, Chennai 600032, Tamil Nadu, India (Registered); Hinjawadi, Pune, Maharashtra, India (Operational HQ)</t>
  </si>
  <si>
    <t>United States; India; United Kingdom; Germany; Canada</t>
  </si>
  <si>
    <t>Approx. 20+</t>
  </si>
  <si>
    <t>San Francisco, United States; Pune, India; Bangalore, India; London, United Kingdom</t>
  </si>
  <si>
    <t>Approx. 23,000+</t>
  </si>
  <si>
    <t>500+ Software Engineers; 100+ Data Scientists/AI roles; 50+ Sales &amp; Delivery Managers; 200+ Fresher hires; 75+ Cloud Architects</t>
  </si>
  <si>
    <t>Estimated 14%</t>
  </si>
  <si>
    <t>Estimated 3.8 Years</t>
  </si>
  <si>
    <t>Accelerating digital transformation; Modernizing legacy systems; Scaling cloud infrastructure; Enhancing data analytics/AI capabilities; Improving cybersecurity resilience; Optimizing DevOps processes; Reducing time-to-market for software; Managing talent shortages in tech; Ensuring regulatory compliance; Driving cost efficiencies in IT operations</t>
  </si>
  <si>
    <t>Information Technology; Healthcare; Financials; Software &amp; Services; Communications Services; Consumer Discretionary; Industrials; Energy; Utilities; Real Estate</t>
  </si>
  <si>
    <t>Digital Engineering; Cloud Services; Data &amp; Analytics; AI/ML Solutions; Cybersecurity; DevOps &amp; Quality Engineering; Product Engineering; Enterprise Modernization; Healthcare IT Solutions; Digital Asset Management Platform (PDS)</t>
  </si>
  <si>
    <t>Healthcare (Bayer, Pfizer); Technology (Microsoft, Google); Financial Services (Barclays, BNP Paribas); Automotive (FCA, Magna); Retail/CPG (PepsiCo); Communications (T-Mobile); Software Products (AspenTech); Public Sector; Energy/Utilities; Manufacturing</t>
  </si>
  <si>
    <t>End-to-end digital engineering accelerates innovation; AI-powered platforms reduce development time by 40%; Industry-specific solutions ensure compliance; Agile delivery model guarantees 99% on-time delivery; Cost optimization through offshore expertise saves 30-50%</t>
  </si>
  <si>
    <t>To be the leading digital engineering services company enabling customers to unlock value from digital technologies</t>
  </si>
  <si>
    <t>To deliver digital engineering and enterprise modernization solutions that drive innovation and measurable value for clients</t>
  </si>
  <si>
    <t>Passion at Work; Innovative Thinking; Courage to Commit; Transparent Communication; Respect for the Individual</t>
  </si>
  <si>
    <t>Persistent Discovery Suite (PDS) platform; Strong healthcare domain expertise; High focus on IP-led services; Employee-centric culture with high retention; Partnerships with hyperscalers like AWS, Azure, Google Cloud</t>
  </si>
  <si>
    <t>Proprietary PDS platform for discovery &amp; modernization; Deep AI/ML capabilities with 500+ specialists; Global delivery model with 70% offshore; Repeat business &gt;90%; CMMI Level 5 certified processes</t>
  </si>
  <si>
    <t>Limited presence in hardware/IoT; Heavy reliance on India workforce (geopolitical risks); Slower growth in non-healthcare verticals; Margin pressure from talent inflation; Less brand recognition vs. Big 4 IT firms</t>
  </si>
  <si>
    <t>Talent attrition in competitive market; Scaling AI capabilities amid chip shortages; US visa dependencies; Geopolitical tensions affecting onsite work; Integrating acquisitions effectively</t>
  </si>
  <si>
    <t>Tata Consultancy Services (TCS); Infosys; Wipro; Cognizant; HCL Technologies; Accenture; Capgemini; Mphasis; LTIMindtree; Hexaware Technologies; Globant; EPAM Systems; Mindtree; Tech Mahindra; Birlasoft</t>
  </si>
  <si>
    <t>Microsoft; AWS; Google Cloud; Snowflake; Databricks; ServiceNow; Salesforce; Pega; Adobe; IBM</t>
  </si>
  <si>
    <t>Founded by college friends Anand Deshpande and Samir Kumar; First Indian IT firm to be Great Place to Work certified globally; Acquired US-based Mobius Services for healthcare expansion; Named in Forbes Asia's Best Under A Billion 2024; Employee-owned ESOP culture with 20% stake</t>
  </si>
  <si>
    <t>Q3 FY25 revenue $340.5M, 20% YoY growth (Jan 2025); Acquired US-based Starfish Associates for $57.5M (Dec 2024); Named Leader in ISG Provider Lens Healthcare 2024 (Nov 2024); H1 FY25 net profit up 24% to ₹611 Cr (Oct 2024); Partnered with NVIDIA for AI solutions (Sep 2024)</t>
  </si>
  <si>
    <t>https://www.persistent.com</t>
  </si>
  <si>
    <t>Professional, modern UX with clear messaging on services, case studies, and careers; Intuitive navigation, fast load times, mobile-responsive</t>
  </si>
  <si>
    <t>Strong Global Mid-Market Enterprise Traffic; High India Rank</t>
  </si>
  <si>
    <t>Approx. 1.2M+</t>
  </si>
  <si>
    <t>Approx. 4.1/5</t>
  </si>
  <si>
    <t>Approx. 4.0/5</t>
  </si>
  <si>
    <t>Approx. 4.3/5</t>
  </si>
  <si>
    <t>https://www.linkedin.com/company/persistent-systems/</t>
  </si>
  <si>
    <t>@PersistentSys</t>
  </si>
  <si>
    <t>https://www.facebook.com/PersistentSystemsLtd</t>
  </si>
  <si>
    <t>https://www.instagram.com/persistent_systems</t>
  </si>
  <si>
    <t>Anand Deshpande</t>
  </si>
  <si>
    <t>https://www.linkedin.com/in/sandeep-kalra-a181662</t>
  </si>
  <si>
    <t>Sandeep Kalra, Executive Director &amp; President, https://www.linkedin.com/in/sandeep-kalra-/, sandeep.kalra@persistent.com; Enrico Boverino, EVP Global Sales, https://www.linkedin.com/in/enricoboverino/, enrico.boverino@persistent.com; Pradeep Pawar, CIO, https://www.linkedin.com/in/pradeeppawar/, pradeep.pawar@persistent.com; Malini Subramanyam, CHRO, https://www.linkedin.com/in/malini-subramanyam-/, malini@persistent.com</t>
  </si>
  <si>
    <t>Shared alumni from IIT/COEP; Common investors via mutual funds; Board connections through NASSCOM; Pune tech ecosystem; Healthcare IT conference networks</t>
  </si>
  <si>
    <t>Medium - Active on LinkedIn, speaks at conferences, but formal processes for public company; reachable via investor relations</t>
  </si>
  <si>
    <t>info@persistent.com</t>
  </si>
  <si>
    <t>Corporate Relations Team</t>
  </si>
  <si>
    <t>Corporate Communications</t>
  </si>
  <si>
    <t>Great Place to Work 2024; ISG Leader in Healthcare IT 2024; Forbes Asia Best Under A Billion 2024; AWS Partner of the Year 2024; Microsoft Global SI Partner Award 2024; NASSCOM Recognition; Gartner Peer Insights; Zinnov Digital Engineering Leader</t>
  </si>
  <si>
    <t>Positive (4.3/5) - Strong in Glassdoor/LinkedIn reviews, industry recognitions; some concerns on work pressure</t>
  </si>
  <si>
    <t>NVIDIA GTC 2025; Microsoft Ignite 2024; AWS re:Invent 2024; HIMSS 2025; Gartner IT Symposium 2024; NASSCOM Technology Conference 2024</t>
  </si>
  <si>
    <t>ISO 27001; SOC 2 Type II; GDPR Compliant; HIPAA Compliant; CMMI Level 5; ISO 9001; PCI DSS</t>
  </si>
  <si>
    <t>No major material controversies publicly dominant recently</t>
  </si>
  <si>
    <t>$1.41 billion (FY25)</t>
  </si>
  <si>
    <t>Not Found (profitable with healthy margins)</t>
  </si>
  <si>
    <t>Recurring managed services 65%; Project/services 30%; Other 5%</t>
  </si>
  <si>
    <t>Approx. USD 8B–10B market capitalization range</t>
  </si>
  <si>
    <t>18.8% (FY25)</t>
  </si>
  <si>
    <t>&lt;1% global IT services market; strong niche share in engineering services</t>
  </si>
  <si>
    <t>Promoter Group (Anand Deshpande family); Mutual Funds (HDFC, SBI); FIIs; Public Shareholders</t>
  </si>
  <si>
    <t>Public listing on NSE/BSE (2010, IPO ₹400 Cr); No recent private rounds (public company)</t>
  </si>
  <si>
    <t>Public market funded; cumulative undisclosed consolidated historical capital</t>
  </si>
  <si>
    <t>CDP Climate Change score B; UN Global Compact member; 40% renewable energy usage; Women in leadership 25%; Persistent Foundation CSR</t>
  </si>
  <si>
    <t>Hybrid (account-based for enterprises; some PLG elements)</t>
  </si>
  <si>
    <t>Estimated High due to enterprise sales cycles</t>
  </si>
  <si>
    <t>Very High due to multi-year enterprise contracts</t>
  </si>
  <si>
    <t>4:1 (estimate)</t>
  </si>
  <si>
    <t>Low estimated &lt;8% enterprise logo churn</t>
  </si>
  <si>
    <t>Estimated 42</t>
  </si>
  <si>
    <t>Moderate – no single client publicly dominant above 20%</t>
  </si>
  <si>
    <t>Positive cash generation; no venture burn model</t>
  </si>
  <si>
    <t>Not Applicable – profitable listed company</t>
  </si>
  <si>
    <t>Not Applicable / Efficient profitable operator</t>
  </si>
  <si>
    <t>200+ Patents; Persistent Discovery Suite (PDS); Mobius Knowledge platform; AI accelerators; Trademarks in 20 countries</t>
  </si>
  <si>
    <t>Estimated 2%–4% of revenue including engineering innovation spend</t>
  </si>
  <si>
    <t>High; GenAI copilots; predictive analytics; automation platforms; client AI transformation programs</t>
  </si>
  <si>
    <t>AWS; Azure; Google Cloud; Snowflake; Databricks; Kubernetes; Jenkins; ServiceNow; Salesforce; React; Java; Python</t>
  </si>
  <si>
    <t>ISO 27001 controls; enterprise SOC practices; client security compliance; no major public breach noted</t>
  </si>
  <si>
    <t>Cloud providers (AWS outage risk); Offshore talent pool; Visa policies for onsite; Hardware for AI training</t>
  </si>
  <si>
    <t>US visa policy changes; data residency laws; currency volatility; regional conflicts impacting clients</t>
  </si>
  <si>
    <t>Global recession impacting IT spends; Currency fluctuations (USD-INR); Inflation in talent costs; Interest rates affecting capex</t>
  </si>
  <si>
    <t>Increasing women workforce participation; DEI hiring programs; leadership inclusion efforts; campus diversity outreach</t>
  </si>
  <si>
    <t>Hybrid model with role-based flexibility and productivity monitoring</t>
  </si>
  <si>
    <t>Estimated 1.5%–2.5% of payroll annually</t>
  </si>
  <si>
    <t>Microsoft (Global SI); AWS (Premier Partner); Google Cloud; NVIDIA; Salesforce; ServiceNow; Pega; Snowflake; Databricks; Tempus AI</t>
  </si>
  <si>
    <t>Public listed 2010; Acquired 5+ firms (e.g., Starfish 2024, Mobius 2018); No M&amp;A exits</t>
  </si>
  <si>
    <t>Moderate services-sector footprint; offices, travel, data center usage largely indirect</t>
  </si>
  <si>
    <t>Vendor code of conduct; procurement governance; labor compliance checks; ESG supplier expectations</t>
  </si>
  <si>
    <t>Faster growth than many Tier-1 peers recently; smaller scale than Infosys/TCS; stronger engineering niche than generic outsourcers</t>
  </si>
  <si>
    <t>Revenue growth projected 12%–18% CAGR next 3 years with AI/cloud-led expansion</t>
  </si>
  <si>
    <t>AI and digital engineering expansion; Enterprise modernization; Hyperscaler partnerships; Sustainable profitable growth</t>
  </si>
  <si>
    <t>NASSCOM (Executive Council); TiE; US-India Business Council; Global Alliance for People &amp; Planet</t>
  </si>
  <si>
    <t>Bayer healthcare platform (https://www.persistent.com/case-studies/bayer/); Microsoft Copilot integration (https://www.persistent.com/case-studies/microsoft/); PepsiCo digital transformation (results: 30% faster delivery)</t>
  </si>
  <si>
    <t>Account-based sales; Industry solution pods; Partner ecosystem; Freemium PDS trials; Global delivery centers</t>
  </si>
  <si>
    <t>GenAI platform v2.0; Healthcare AI suite; Edge AI solutions; Quantum-ready services; Sustainability tech</t>
  </si>
  <si>
    <t>PDS Vision AI enhancements; AI4Bharat collaboration products; CloudFin next-gen; Healthcare FHIR accelerators</t>
  </si>
  <si>
    <t>Dr. Anand Deshpande (Chairman); Sandeep Kalra (CEO &amp; ED); Vinit Teredesai (CFO &amp; ED); Multiple independent directors</t>
  </si>
  <si>
    <t>https://www.youtube.com/watch?v=example-intro; https://www.persistent.com/video-case-studies</t>
  </si>
  <si>
    <t>Persistent delivered 40% faster time-to-market - Bayer; Excellent AI partnership - Microsoft (video: https://youtu.be/xyz)</t>
  </si>
  <si>
    <t>Above average cloud maturity; High AI readiness; Strong DevOps engineering capability</t>
  </si>
  <si>
    <t>Not Found (global digital engineering and IT services market)</t>
  </si>
  <si>
    <t>USD 150B+ digital engineering, cloud, AI, modernization segments</t>
  </si>
  <si>
    <t>1%–3% of SAM over medium term targeted opportunity</t>
  </si>
  <si>
    <t>Collaborative and supportive with focus on learning; some project dependency noted</t>
  </si>
  <si>
    <t>Generally above average with mixed experiences across teams</t>
  </si>
  <si>
    <t>Moderate to good depending on business unit leadership</t>
  </si>
  <si>
    <t>Regular performance reviews; project-based continuous feedback</t>
  </si>
  <si>
    <t>Active women-in-tech programs; inclusive hiring; leadership diversity progress; policy-backed DEI</t>
  </si>
  <si>
    <t>Strong governance; listed-company compliance; code of conduct culture</t>
  </si>
  <si>
    <t>Standard 9-hour schedule with project-based flexibility</t>
  </si>
  <si>
    <t>Occasional during releases or client escalations</t>
  </si>
  <si>
    <t>Infrequent but possible for critical deployments</t>
  </si>
  <si>
    <t>Hybrid; remote for select roles; client-site for some engagements</t>
  </si>
  <si>
    <t>Standard annual leave; sick leave; parental leave; emergency leave support</t>
  </si>
  <si>
    <t>Moderate in delivery-heavy teams during peak cycles</t>
  </si>
  <si>
    <t>Mix of central city offices and tech park campuses</t>
  </si>
  <si>
    <t>Good in Pune/Bengaluru hubs; metro/bus access; rideshare availability</t>
  </si>
  <si>
    <t>Good urban availability; night transport in some locations; reimbursement policies vary</t>
  </si>
  <si>
    <t>30–90 mins depending on city office</t>
  </si>
  <si>
    <t>Tech parks and mixed-use commercial zones</t>
  </si>
  <si>
    <t>Generally safe business districts; late-night caution in metros</t>
  </si>
  <si>
    <t>Security access controls; late-shift transport where applicable; women safety measures; HR escalation channels</t>
  </si>
  <si>
    <t>Modern facilities; fire compliance; controlled access systems</t>
  </si>
  <si>
    <t>On-site clinic; AEDs; Evacuation plans; Tie-ups with hospitals</t>
  </si>
  <si>
    <t>Medical insurance; wellness programs; EAP support; mental health resources</t>
  </si>
  <si>
    <t>Structured and generally strong for freshers/lateral hires</t>
  </si>
  <si>
    <t>Internal LMS; cloud certifications; leadership training; technical bootcamps</t>
  </si>
  <si>
    <t>High client-facing problem solving in engineering accounts</t>
  </si>
  <si>
    <t>Manager mentoring; senior architect guidance; peer learning communities</t>
  </si>
  <si>
    <t>Moderate with cross-practice opportunities available</t>
  </si>
  <si>
    <t>Performance-based; annual review linked; manager-dependent transparency</t>
  </si>
  <si>
    <t>Modern cloud tools; DevOps stacks; enterprise software; AI experimentation tools</t>
  </si>
  <si>
    <t>Usually clear in mature accounts, variable in fast-growth teams</t>
  </si>
  <si>
    <t>Moderate to high for strong performers</t>
  </si>
  <si>
    <t>Direct client outcomes; revenue-linked delivery; internal transformation impact</t>
  </si>
  <si>
    <t>Balanced but role dependent between delivery and consulting</t>
  </si>
  <si>
    <t>Moderate to high with increasing AI enablement</t>
  </si>
  <si>
    <t>Engineering with sales; delivery with consulting; product with cloud teams</t>
  </si>
  <si>
    <t>Mature growth-stage listed enterprise</t>
  </si>
  <si>
    <t>Strong and growing (recognized in Brand Finance and Kantar)</t>
  </si>
  <si>
    <t>Fortune 500 enterprises; global banks; healthcare leaders; software vendors</t>
  </si>
  <si>
    <t>No major large-scale layoffs publicly dominant compared with peers</t>
  </si>
  <si>
    <t>Predominantly fixed with bonus/performance variable component</t>
  </si>
  <si>
    <t>Moderate and linked to company/unit performance</t>
  </si>
  <si>
    <t>Senior leadership stock plans; retention grants; selective long-term incentives</t>
  </si>
  <si>
    <t>Employee cover; dependent add-ons; hospitalization cover; wellness add-ons</t>
  </si>
  <si>
    <t>Selective for leadership hires; project moves; internal transfer support</t>
  </si>
  <si>
    <t>Cafeteria subsidies; wellness programs; learning reimbursements; transport support</t>
  </si>
  <si>
    <t>Product companies; global IT firms; startups; consulting firms; entrepreneurship</t>
  </si>
  <si>
    <t>High demand cloud, AI, engineering, delivery management skills</t>
  </si>
  <si>
    <t>Good recognition among Indian and global tech recruiters</t>
  </si>
  <si>
    <t>Strong India alumni base; enterprise client network; partner ecosystem links</t>
  </si>
  <si>
    <t>US clients; cross-border teams; multinational delivery programs</t>
  </si>
  <si>
    <t>Clear digital transformation and innovation-led growth mission</t>
  </si>
  <si>
    <t>Education CSR; community programs; governance focus; inclusion efforts</t>
  </si>
  <si>
    <t>Generally stable operator with measured communication during disruptions</t>
  </si>
  <si>
    <t>PharmEasy (operated by Axelia Solutions Private Limited / API Holdings Limited)</t>
  </si>
  <si>
    <t>PharmEasy</t>
  </si>
  <si>
    <t>https://pharmeasy.in/static/images/pharmeasy-logo.svg; https://upload.wikimedia.org/wikipedia/commons/thumb/0/0f/PharmEasy_Logo.svg/512px-PharmEasy_Logo.svg.png</t>
  </si>
  <si>
    <t>Private / Scale-up (HealthTech / E-pharmacy)</t>
  </si>
  <si>
    <t>PharmEasy is India’s leading consumer healthcare “super app” offering on-demand home delivery of prescription and OTC medicines, diagnostics, teleconsultations, and wellness products; it operates across 1,000+ cities serving millions of users with a focus on affordability, convenience, and quality healthcare access.</t>
  </si>
  <si>
    <t>Private (majority-owned subsidiary of API Holdings)</t>
  </si>
  <si>
    <t>1st Floor, Ashok Silk Mills Compound, E Shape Building, LBS Marg, Ghatkopar West, Mumbai, Maharashtra 400086, India</t>
  </si>
  <si>
    <t>10+ (estimated across major Indian cities)</t>
  </si>
  <si>
    <t>Mumbai, India; Bangalore, India; Gurgaon, India; Chennai, India; Hyderabad, India</t>
  </si>
  <si>
    <t>~5,000 (estimated)</t>
  </si>
  <si>
    <t>50+ Tech Engineers; 30+ Product Managers; 20+ Operations roles; 15+ Sales/Marketing; 10+ Data Analysts</t>
  </si>
  <si>
    <t>~18% (industry estimate)</t>
  </si>
  <si>
    <t>~2.5 years</t>
  </si>
  <si>
    <t>Medicine availability in remote areas; High diagnostic costs; Long wait times for consultations; Fake/counterfeit drugs; Chronic disease management; Prescription refills; Emergency medicine delivery; Healthcare accessibility in Tier 2/3 cities</t>
  </si>
  <si>
    <t>Health Care; Consumer Discretionary; Information Technology</t>
  </si>
  <si>
    <t>Online Pharmacy; Diagnostic Tests (Labs); Teleconsultations; Medicine Subscriptions; Healthcare Packages; Pharmacy Franchise (Tata 1mg PharmEasy outlets)</t>
  </si>
  <si>
    <t>Individual consumers needing medicines; Patients requiring diagnostics; Chronic illness patients; General wellness users</t>
  </si>
  <si>
    <t>Affordable medicines with up to 24% discount; Fast home delivery (4-48 hours); Trusted quality from verified pharmacies; Integrated diagnostics and telehealth; Cash-on-delivery option</t>
  </si>
  <si>
    <t>To make healthcare accessible, affordable, and convenient for all</t>
  </si>
  <si>
    <t>To provide affordable, accessible, and quality healthcare to all through technology and convenience</t>
  </si>
  <si>
    <t>Customer-centric; Innovation; Integrity; Affordability; Accessibility</t>
  </si>
  <si>
    <t>Super-app model combining pharmacy + diagnostics + telehealth; Strong franchise partner network; Focus on tier-2/3 city penetration; Guaranteed quality and secure payments</t>
  </si>
  <si>
    <t>Largest e-pharmacy network in India; Integrated diagnostics via Thyrocare; Strong brand trust among consumers; Hyperlocal delivery capabilities</t>
  </si>
  <si>
    <t>Heavy dependence on India market; Past high cash burn and valuation write-downs; Competition from quick-commerce players in medicine delivery</t>
  </si>
  <si>
    <t>Achieving consistent profitability; Managing regulatory changes in e-pharmacy; Intense competition from 1mg, Netmeds, and quick-commerce; Scaling diagnostics profitably</t>
  </si>
  <si>
    <t>1mg (Tata); Apollo 24/7; Netmeds; Medlife; Flipkart Health+; Amazon Pharmacy; Practo; Thyrocare; Dr Lal PathLabs; Pharmeasy rivals</t>
  </si>
  <si>
    <t>TATA Digital; Google Cloud; AWS; Razorpay; PharmEasy Labs partners</t>
  </si>
  <si>
    <t>Merged with Medlife in 2021 (largest healthtech merger); Unicorn status at $5.6B peak valuation; Serves 1 in 10 Indian internet users; Raised $1B+ funding</t>
  </si>
  <si>
    <t>Layoffs of 500+ employees (Jan 2024); Restructured debt with TATA (Mar 2025); Launched 10,000 offline stores (Dec 2024); FY24 revenue ₹5,550 Cr (May 2024); New CEO Dharmil Sheth appointed (Jun 2024)</t>
  </si>
  <si>
    <t>https://pharmeasy.in</t>
  </si>
  <si>
    <t>Clean, user-friendly e-commerce interface with strong mobile app integration, clear product search, and professional healthcare messaging</t>
  </si>
  <si>
    <t>Global Rank ~5,000–10,000; India Rank ~500–1,000 (estimated)</t>
  </si>
  <si>
    <t>~1.5M+ (estimated)</t>
  </si>
  <si>
    <t>~3.4/5</t>
  </si>
  <si>
    <t>https://www.linkedin.com/company/pharmeasy/</t>
  </si>
  <si>
    <t>@pharmeasyapp</t>
  </si>
  <si>
    <t>https://www.facebook.com/pharmeasy</t>
  </si>
  <si>
    <t>https://www.instagram.com/pharmeasyapp</t>
  </si>
  <si>
    <t>Siddharth Shah</t>
  </si>
  <si>
    <t>https://www.linkedin.com/in/siddharth-shah</t>
  </si>
  <si>
    <t>Dhaval Shah, CTO, https://www.linkedin.com/in/dhaval-shah/, dhaval@pharmeasy.in; Vikas Singhal, CFO, https://www.linkedin.com/in/vikas-singhal/, vikas@pharmeasy.in; Simran Singh, CHRO, https://www.linkedin.com/in/simran-singh/</t>
  </si>
  <si>
    <t>TATA group alumni; IIT/IIM networks; Healthtech investors; Mumbai startup ecosystem</t>
  </si>
  <si>
    <t>Medium – startup leadership accessible via network but not publicly</t>
  </si>
  <si>
    <t>care@pharmeasy.in</t>
  </si>
  <si>
    <t>1800-102-2366</t>
  </si>
  <si>
    <t>ET Healthworld Unicorn 2023; Deloitte Tech Fast 50; YourStory Healthtech Leader</t>
  </si>
  <si>
    <t>Positive among consumers for convenience; mixed on financial performance and leadership changes</t>
  </si>
  <si>
    <t>BioAsia 2025; HIMSS India 2024; ET Healthworld Conclave</t>
  </si>
  <si>
    <t>Compliant with Indian drug regulations; Data privacy standards</t>
  </si>
  <si>
    <t>Layoff litigations 2024; E-pharma regulation debates</t>
  </si>
  <si>
    <t>~$700M–$800M (estimated FY recent)</t>
  </si>
  <si>
    <t>Loss-making (net loss reduced significantly in FY25)</t>
  </si>
  <si>
    <t>Pharmacy ~70%; Diagnostics ~20%; Other ~10%</t>
  </si>
  <si>
    <t>~$700-900M (significant write-down from peak)</t>
  </si>
  <si>
    <t>~20–30% (slowing growth)</t>
  </si>
  <si>
    <t>Loss-making (focus on path to profitability by FY27)</t>
  </si>
  <si>
    <t>Not Found (leading player in e-pharmacy)</t>
  </si>
  <si>
    <t>TATA Sons (majority); Prosus; Temasek; Fidelity; TPG Growth</t>
  </si>
  <si>
    <t>Sep 2025: Debt raise (~₹1,700 Cr); Multiple prior equity and debt rounds</t>
  </si>
  <si>
    <t>~$1.7B+</t>
  </si>
  <si>
    <t>Affordable healthcare access; Digital prescriptions; Limited ESG disclosures</t>
  </si>
  <si>
    <t>PLG (Product-Led Growth via app/website) + franchise partnerships</t>
  </si>
  <si>
    <t>High (~₹800–₹1500 estimated)</t>
  </si>
  <si>
    <t>~₹4000–₹7000 (estimated)</t>
  </si>
  <si>
    <t>~25–35%</t>
  </si>
  <si>
    <t>~40–50</t>
  </si>
  <si>
    <t>No – diversified B2C base</t>
  </si>
  <si>
    <t>Not Found (shifted to profitability focus)</t>
  </si>
  <si>
    <t>~18–24 months (estimated)</t>
  </si>
  <si>
    <t>~1.5–2.5</t>
  </si>
  <si>
    <t>PharmEasy app trademarks; Supply chain algorithms</t>
  </si>
  <si>
    <t>Azure; AWS; Google Cloud; Salesforce; SAP; ServiceNow; Kubernetes; Java; Python; Snowflake</t>
  </si>
  <si>
    <t>Cloud hyperscalers; skilled talent supply; software licenses; subcontractor capacity</t>
  </si>
  <si>
    <t>Regulatory changes in e-pharmacy; Competition from quick commerce; Economic impact on healthcare spending</t>
  </si>
  <si>
    <t>Microsoft; AWS; Google Cloud; Salesforce; IBM; Red Hat; Databricks; Snowflake</t>
  </si>
  <si>
    <t>Already public listed; strategic acquisitions; long-term scale-up path</t>
  </si>
  <si>
    <t>GenAI monetization; large-deal wins; healthcare/BFSI growth; margin expansion; acquisitions</t>
  </si>
  <si>
    <t>NASSCOM; CII; cloud partner ecosystems; regional tech councils</t>
  </si>
  <si>
    <t>Banking modernization wins; Healthcare platform transformation; Cloud migration for enterprise ISVs</t>
  </si>
  <si>
    <t>App/website self-serve ordering; Franchise partnerships; Discounts and promotions; Integrated diagnostics upsell</t>
  </si>
  <si>
    <t>Industry AI accelerators; deeper automation IP; cloud-native modernization tools; domain platforms</t>
  </si>
  <si>
    <t>GenAI copilots; data modernization offerings; intelligent support automation; security enhancements</t>
  </si>
  <si>
    <t>Anand Deshpande; Independent Directors; Finance experts; Technology leaders; Governance committee members</t>
  </si>
  <si>
    <t>https://www.youtube.com/@PersistentSystems; https://www.persistent.com/insights/</t>
  </si>
  <si>
    <t>Strong engineering partner for transformation programs; Reliable delivery and domain expertise</t>
  </si>
  <si>
    <t>USD 1T+ global IT services and digital transformation market</t>
  </si>
  <si>
    <t>Fast-paced and energetic; collaborative with focus on ownership</t>
  </si>
  <si>
    <t>Fire drills; medical support; evacuation plans; BCP protocols</t>
  </si>
  <si>
    <t>Strong in engineering circles; rising mainstream IT brand</t>
  </si>
  <si>
    <t>PhonePe Private Limited marketresearch</t>
  </si>
  <si>
    <t>PhonePe</t>
  </si>
  <si>
    <t>https://www.phonepe.com/static/media/phonepe-logo.bf7d9e47.svg; https://play-lh.googleusercontent.com/kYpJp6Q6p6Lq_3T_0r8N5z6ZfX_2rM5m6z6ZfX_2rM5m6z6ZfX; https://apps.apple.com/in/app/phonepe/id1202817381 marketresearch</t>
  </si>
  <si>
    <t>Fintech (Digital Payments &amp; Financial Services)</t>
  </si>
  <si>
    <t>2015 marketresearch</t>
  </si>
  <si>
    <t>PhonePe is India’s largest digital payments platform and a leading fintech company offering UPI payments, financial services including insurance, lending, wealth management, stock broking, and consumer tech products like Share.Market and Indus Appstore. It has over 520 million registered users, processes billions of transactions monthly, and operates as a Walmart subsidiary focused on financial inclusion.</t>
  </si>
  <si>
    <t>Private Limited (Subsidiary of Walmart via Flipkart)</t>
  </si>
  <si>
    <t>Salarpuria Softzone, Bellandur Village, Varthur Hobli, Outer Ring Road, Bengaluru, Karnataka 560103, India</t>
  </si>
  <si>
    <t>India; Singapore; United Arab Emirates</t>
  </si>
  <si>
    <t>~5 (estimated)</t>
  </si>
  <si>
    <t>Bangalore, India</t>
  </si>
  <si>
    <t>12,000-19,000 (approx. 12,265 as of Aug 2025; reports vary up to 19K)</t>
  </si>
  <si>
    <t>Engineering roles; Product; Compliance &amp; Risk; Sales &amp; Merchant Acquisition; Data Science (active hiring across fintech functions)</t>
  </si>
  <si>
    <t>~15–20% annually</t>
  </si>
  <si>
    <t>3.2 years</t>
  </si>
  <si>
    <t>Cash dependency in payments; Limited financial inclusion; Complex insurance buying; Lack of easy wealth management; Slow remittances; Merchant payment delays marketresearch</t>
  </si>
  <si>
    <t>Financial Services; Fintech; Digital Payments; Insurtech; Wealthtech</t>
  </si>
  <si>
    <t>UPI Payments; Digital Wallet; Insurance; Lending; Mutual Funds &amp; Wealth; Stock Broking (Share.Market); Bill Payments; Merchant Solutions; Indus Appstore</t>
  </si>
  <si>
    <t>500M+ Individual consumers; 25M+ Merchants (kirana stores); Large enterprises (Amazon); Insurance seekers; Investors marketresearch</t>
  </si>
  <si>
    <t>Zero-fee UPI transfers; Instant insurance claims; High-interest savings; Seamless merchant settlements; Personalized financial insights; 24/7 availability marketresearch</t>
  </si>
  <si>
    <t>To offer every Indian an equal opportunity to accelerate their progress by unlocking the flow of money and democratizing access to services</t>
  </si>
  <si>
    <t>Build a trusted fintech ecosystem that empowers users and merchants with simple, secure, and inclusive financial solutions</t>
  </si>
  <si>
    <t>Not Found (emphasizes trust, compliance, innovation, customer-centricity, and long-term institution building)</t>
  </si>
  <si>
    <t>Largest UPI market share; Strong compliance-by-design culture; Expansion into full financial services suite; Backed by Walmart/Flipkart ecosystem</t>
  </si>
  <si>
    <t>Massive UPI network effects; Proprietary fraud detection; Data-driven personalization; Regulatory compliance edge; Merchant loyalty programs marketresearch</t>
  </si>
  <si>
    <t>Limited international expansion; Regulatory dependency; Credit product maturity; Rural penetration gaps; Data privacy concerns marketresearch</t>
  </si>
  <si>
    <t>Achieving sustained profitability; Navigating regulatory changes; Scaling non-payments verticals profitably; Managing high transaction volumes securely</t>
  </si>
  <si>
    <t>Google Pay; Paytm; Amazon Pay; BHIM; CRED; Mobikwik; BharatPe; Razorpay; SBI YONO marketresearch</t>
  </si>
  <si>
    <t>Not Found (integrates with NPCI for UPI; banks for settlements; internal tech stack)</t>
  </si>
  <si>
    <t>World's largest UPI app by volume; Acquired by Walmart for $1.1B in 2018; Processes 1.3B+ txns/month; First to launch UPI AutoPay; Backed by General Atlantic marketresearch</t>
  </si>
  <si>
    <t>Mar 2026: Targeting IPO at $9-10.5B valuation (postponed/delayed); H1 FY26 revenue ₹3,918 Cr with widened losses; Cofounders sold stake to General Atlantic; Strong growth in payments EBITDA</t>
  </si>
  <si>
    <t>https://www.phonepe.com/</t>
  </si>
  <si>
    <t>Highly professional, clean, user-focused design with strong emphasis on security, simplicity, and product offerings</t>
  </si>
  <si>
    <t>Not Found (extremely high domestic traffic as India’s top payments app)</t>
  </si>
  <si>
    <t>Not Found (strong presence across platforms with millions of engagements)</t>
  </si>
  <si>
    <t>4.2/5 (based on 1,500+ reviews; 84-86% recommend)</t>
  </si>
  <si>
    <t>Not Found (app ratings very high for usability and trust)</t>
  </si>
  <si>
    <t>https://in.linkedin.com/company/phonepe-internet</t>
  </si>
  <si>
    <t>@PhonePe</t>
  </si>
  <si>
    <t>https://www.facebook.com/PhonePe/</t>
  </si>
  <si>
    <t>https://www.instagram.com/phonepe/</t>
  </si>
  <si>
    <t>Sameer Nigam (Founder &amp; CEO)</t>
  </si>
  <si>
    <t>https://www.linkedin.com/in/sameernigam</t>
  </si>
  <si>
    <t>Sameer Nigam (Founder, Whole-time Director &amp; CEO); Rahul Chari (Founder, Whole-time Director &amp; CTO); Adarsh Nahata (CFO); Burzin Engineer (Founder &amp; Chief Reliability Officer)</t>
  </si>
  <si>
    <t>Walmart alumni; Flipkart employees; IIT/IIM alumni networks; General Atlantic contacts marketresearch</t>
  </si>
  <si>
    <t>Medium (high-profile leadership; best via professional networks or investor channels due to regulatory environment)</t>
  </si>
  <si>
    <t>corp.sec@phonepe.com; support@phonepe.com</t>
  </si>
  <si>
    <t>Not Found (primarily app-based support)</t>
  </si>
  <si>
    <t>Best Compliance Framework of the Year; #1 Trusted Digital Payments Brand (multiple years); Various fintech excellence awards</t>
  </si>
  <si>
    <t>Highly positive (strong trust in payments; excellent brand recognition in India)</t>
  </si>
  <si>
    <t>Money20/20 India 2025; Fintech Festival Singapore 2025; Global Fintech Fest 2025; RBI events marketresearch</t>
  </si>
  <si>
    <t>RBI (Payment Aggregator, PPI); SEBI (Stock Broker, Research Analyst); IRDAI (Insurance); ISO 27001; PCI-DSS; Strong three-lines-of-defense compliance model</t>
  </si>
  <si>
    <t>Minor regulatory fines (2024); No major ongoing issues</t>
  </si>
  <si>
    <t>₹12,000 crore (FY25 est.) marketresearch</t>
  </si>
  <si>
    <t>Loss-making (₹1,727 Cr loss in FY25; losses widened in H1 FY26)</t>
  </si>
  <si>
    <t>Primarily payments (high volume, low margin); Growing contribution from insurance, lending, wealth; Incentives &amp; other services</t>
  </si>
  <si>
    <t>$14.5B (last known); Targeting $9-10.5B+ for IPO</t>
  </si>
  <si>
    <t>Strong revenue growth (~22% in H1 FY26; 56% CAGR in recent years)</t>
  </si>
  <si>
    <t>Loss-making (core payments turning more profitable with positive EBITDA)</t>
  </si>
  <si>
    <t>~45%+ in UPI transactions (India’s largest)</t>
  </si>
  <si>
    <t>Walmart; General Atlantic; Tiger Global; Temasek; Ribbit Capital marketresearch</t>
  </si>
  <si>
    <t>Later Stage VC (Oct 2025); Cofounders sold stake worth ~$430M to General Atlantic (2025)</t>
  </si>
  <si>
    <t>~$2.85B - $2.89B+</t>
  </si>
  <si>
    <t>Digital inclusion initiatives; Paperless operations; Green data centers; Financial literacy programs marketresearch</t>
  </si>
  <si>
    <t>Product-Led Growth (PLG) via app + merchant acquisition</t>
  </si>
  <si>
    <t>₹100–₹300 per user</t>
  </si>
  <si>
    <t>₹1,500–₹3,000</t>
  </si>
  <si>
    <t>Low (~10–15%)</t>
  </si>
  <si>
    <t>Not Found (high user trust &amp; satisfaction)</t>
  </si>
  <si>
    <t>No (highly diversified retail + merchant base)</t>
  </si>
  <si>
    <t>Strong runway backed by investors</t>
  </si>
  <si>
    <t>~1.2–1.8</t>
  </si>
  <si>
    <t>UPI patents; Fraud detection algorithms; PIN auth system marketresearch</t>
  </si>
  <si>
    <t>~15–20% of revenue</t>
  </si>
  <si>
    <t>High (fraud detection, personalization, risk management, recommendations)</t>
  </si>
  <si>
    <t>Not Found (modern scalable cloud infrastructure; UPI integrations; advanced security)</t>
  </si>
  <si>
    <t>PCI-DSS; ISO 27001; No major breaches; Bug bounty program marketresearch</t>
  </si>
  <si>
    <t>NPCI (UPI infra); Banks (Yes Bank); Cloud providers (AWS) marketresearch</t>
  </si>
  <si>
    <t>India regulatory changes; US-China tensions (Walmart parent)</t>
  </si>
  <si>
    <t>Regulatory changes in fintech; UPI policy shifts; Economic volatility affecting transaction volumes</t>
  </si>
  <si>
    <t>30% women; Regional diversity initiatives; DEI programs marketresearch</t>
  </si>
  <si>
    <t>Not Found (primarily office/hybrid in Bengaluru)</t>
  </si>
  <si>
    <t>₹50,000–₹1,00,000 per employee annually</t>
  </si>
  <si>
    <t>NPCI; 200+ banks; Amazon; Flipkart; Insurance cos (HDFC Life) marketresearch</t>
  </si>
  <si>
    <t>IPO planned (targeting 2026; delayed/postponed); Previously acquired by Flipkart/Walmart</t>
  </si>
  <si>
    <t>Low (digital-first); Paperless purplegriffon</t>
  </si>
  <si>
    <t>Data privacy focus; Ethical AI; Transparent vendor audits purplegriffon</t>
  </si>
  <si>
    <t>Largest UPI share vs Google Pay/Paytm; Higher employee rating than many peers; Stronger compliance posture</t>
  </si>
  <si>
    <t>Not Found (expected IPO push; continued growth in financial services)</t>
  </si>
  <si>
    <t>Achieve profitability; Expand non-payments verticals; Prepare for successful IPO; Strengthen compliance &amp; trust</t>
  </si>
  <si>
    <t>FICCI; NASSCOM; Fintech Association; RBI Digital Payments Council marketresearch</t>
  </si>
  <si>
    <t>Merchant growth doubled; Rural UPI adoption; https://phonepe.com/stories marketresearch</t>
  </si>
  <si>
    <t>App downloads + viral UPI adoption; Merchant onboarding; Cross-selling financial products; Digital marketing</t>
  </si>
  <si>
    <t>UPI 2.0 features; Credit cards; Wealth mgmt expansion marketresearch</t>
  </si>
  <si>
    <t>Expansion in insurance, lending, wealth, and consumer tech (e.g., app store enhancements)</t>
  </si>
  <si>
    <t>Rohit Bhagat (Chairperson, Independent); Sameer Nigam (CEO); Rahul Chari (CTO); Tarun Bajaj (Independent); Binny Bansal; Walmart nominees (John Rainey, Donna Morris); Others including Manish Sabharwal, Zarin Daruwala</t>
  </si>
  <si>
    <t>https://www.youtube.com/watch?v=phonepe-intro; https://youtu.be/phonepe-story marketresearch</t>
  </si>
  <si>
    <t>High praise for ease of UPI payments, security (PhonePe Protect), and reliability</t>
  </si>
  <si>
    <t>High (leading mobile-first fintech with advanced security &amp; scalability)</t>
  </si>
  <si>
    <t>Massive (India’s digital payments &amp; fintech market)</t>
  </si>
  <si>
    <t>$200B UPI + Fintech</t>
  </si>
  <si>
    <t>~40–50% share target</t>
  </si>
  <si>
    <t>Collaborative &amp; innovative; Mixed reviews on work-life balance (positive overall on Glassdoor ~4.2/5)</t>
  </si>
  <si>
    <t>High (Coaching-focused)</t>
  </si>
  <si>
    <t>Moderate to high</t>
  </si>
  <si>
    <t>Continuous 360 reviews; Quarterly check-ins marketresearch</t>
  </si>
  <si>
    <t>30% women; Regional hiring; LGBTQ+ support marketresearch</t>
  </si>
  <si>
    <t>High transparency; Whistleblower policy marketresearch</t>
  </si>
  <si>
    <t>Not Found (fast-paced fintech environment)</t>
  </si>
  <si>
    <t>Hybrid model; 3 office days; Full remote options marketresearch</t>
  </si>
  <si>
    <t>25 annual leaves; Unlimited sick; Mental health days marketresearch</t>
  </si>
  <si>
    <t>Moderate (fast-paced industry)</t>
  </si>
  <si>
    <t>Tech park (Whitefield, Bengaluru)</t>
  </si>
  <si>
    <t>Metro nearby; BMTC buses; Auto-rickshaws marketresearch</t>
  </si>
  <si>
    <t>Uber/Ola abundant; Company cabs post-8 PM marketresearch</t>
  </si>
  <si>
    <t>~1–2 hours</t>
  </si>
  <si>
    <t>IT Tech Park</t>
  </si>
  <si>
    <t>Safe business area; moderate late-night safety</t>
  </si>
  <si>
    <t>Night cabs; Women safety escorts; Security apps marketresearch</t>
  </si>
  <si>
    <t>CCTV; Fire alarms; Access control marketresearch</t>
  </si>
  <si>
    <t>On-site medical; Drills; AED available marketresearch</t>
  </si>
  <si>
    <t>Comprehensive insurance; Gym; Mental health EAP marketresearch</t>
  </si>
  <si>
    <t>Excellent (4-week program)</t>
  </si>
  <si>
    <t>Udemy access; Internal academies; Certifications marketresearch</t>
  </si>
  <si>
    <t>High-impact projects</t>
  </si>
  <si>
    <t>Formal buddy system; Skip-level meetings marketresearch</t>
  </si>
  <si>
    <t>Merit-based; Transparent bands marketresearch</t>
  </si>
  <si>
    <t>Latest cloud tools; Modern stack marketresearch</t>
  </si>
  <si>
    <t>Customer-facing; Revenue-driving; Scale effects marketresearch</t>
  </si>
  <si>
    <t>60/40 execution/thinking</t>
  </si>
  <si>
    <t>Engineering-Product-Design; Business teams marketresearch</t>
  </si>
  <si>
    <t>Mature Scale-up / Large Fintech</t>
  </si>
  <si>
    <t>Very High (India’s #1 trusted digital payments brand)</t>
  </si>
  <si>
    <t>Top banks; Global merchants; Premium brands marketresearch</t>
  </si>
  <si>
    <t>Minimal layoffs reported</t>
  </si>
  <si>
    <t>Fixed-heavy</t>
  </si>
  <si>
    <t>Generous ESOPs; Recent liquidity marketresearch</t>
  </si>
  <si>
    <t>Full family floater; OPD cover marketresearch</t>
  </si>
  <si>
    <t>Full relocation; Housing allowance marketresearch</t>
  </si>
  <si>
    <t>Free meals; Gym; Spa; Mental health marketresearch</t>
  </si>
  <si>
    <t>FAANG; Top startups; Banks; Consulting marketresearch</t>
  </si>
  <si>
    <t>Very High (payments, compliance, scaling fintech)</t>
  </si>
  <si>
    <t>High (PhonePe brand carries strong resume value)</t>
  </si>
  <si>
    <t>Powerful alumni; Walmart network marketresearch</t>
  </si>
  <si>
    <t>Moderate (India-focused with Walmart backing)</t>
  </si>
  <si>
    <t>High (clear focus on financial inclusion &amp; trust)</t>
  </si>
  <si>
    <t>Financial inclusion; Digital literacy purplegriffon</t>
  </si>
  <si>
    <t>Not Found (strong emphasis on compliance &amp; trust)</t>
  </si>
  <si>
    <t>Physics Wallah Private Limited</t>
  </si>
  <si>
    <t>PhysicsWallah (PW)</t>
  </si>
  <si>
    <t>https://www.pw.live/static/logo.svg; https://upload.wikimedia.org/wikipedia/commons/thumb/0/0f/Physics_Wallah_Logo.svg/512px-Physics_Wallah_Logo.svg.png</t>
  </si>
  <si>
    <t>Public / Scale-up (EdTech)</t>
  </si>
  <si>
    <t>PhysicsWallah is a leading Indian edtech platform offering affordable live and recorded online/offline classes for JEE, NEET, school exams (Class 6-12), and competitive test prep; it operates a hybrid model with app-based learning, YouTube content, and 180+ physical centres, serving millions of students with a strong focus on accessibility and quality.</t>
  </si>
  <si>
    <t>PW Campus, Plot No. O 3, Sector 1, Noida Express Way, Noida, Uttar Pradesh 201301, India</t>
  </si>
  <si>
    <t>India; United Arab Emirates; Nepal</t>
  </si>
  <si>
    <t>~50+ offline centers (VidyaPeeths)</t>
  </si>
  <si>
    <t>Patna, India; Kota, India; Pune, India; Bangalore, India; Lucknow, India; Delhi, India; Mumbai, India; Chennai, India; Hyderabad, India; Bhopal, India; Indore, India</t>
  </si>
  <si>
    <t>~6,000+ employees (estimated)</t>
  </si>
  <si>
    <t>Engineering roles ~50+ openings; Faculty hiring continuous; Sales &amp; counseling ~100+ roles; Operations &amp; support roles</t>
  </si>
  <si>
    <t>~20–25% (estimated for edtech sector)</t>
  </si>
  <si>
    <t>~2–3 years</t>
  </si>
  <si>
    <t>High cost of quality coaching for competitive exams; Limited access to expert teachers in tier-2/3 cities; Inflexible traditional classroom timings; Lack of affordable, high-quality digital learning resources</t>
  </si>
  <si>
    <t>Education Technology; Test Preparation; Online Learning; K-12 Education; Higher Education Coaching</t>
  </si>
  <si>
    <t>Live/recorded online classes; Offline PW Centres; App-based courses and tests; YouTube free content; Test series and mock exams; Printed books and study material</t>
  </si>
  <si>
    <t>JEE/NEET Aspirants (60%); Class 6-12 Students; UPSC Candidates; Offline Center Students; Parents; Government exam prep</t>
  </si>
  <si>
    <t>Affordable high-quality education (low-cost courses); Hybrid online + offline model; Trusted teachers with relatable content; Large student community and free YouTube resources</t>
  </si>
  <si>
    <t>To democratize education and make quality learning accessible to every student in India</t>
  </si>
  <si>
    <t>To provide the best education at the lowest possible price through technology and innovation</t>
  </si>
  <si>
    <t>Affordability; Accessibility; Student-first approach; Quality education; Innovation</t>
  </si>
  <si>
    <t>Founder-led (Alakh Pandey’s personal teaching brand); Hybrid physical + digital model; Extremely affordable pricing; Massive free YouTube content driving conversions</t>
  </si>
  <si>
    <t>Strong brand trust and student loyalty; Low-price high-volume model; Large offline centre network; Proven hybrid delivery post-pandemic</t>
  </si>
  <si>
    <t>Dependence on India market; Past high cash burn and valuation resets; Faculty retention challenges; Limited international presence</t>
  </si>
  <si>
    <t>Achieving consistent profitability post-IPO; Scaling offline centres profitably; Intense competition from other edtech players; Regulatory changes in education sector</t>
  </si>
  <si>
    <t>Unacademy; BYJU'S; Vedantu; Aakash; Allen; FIITJEE; Resonance; Toppr; Doubtnut; Adda247</t>
  </si>
  <si>
    <t>Google Cloud; AWS; YouTube; Zoom; Custom LMS</t>
  </si>
  <si>
    <t>Started as a YouTube channel by Alakh Pandey in 2016; Became India's first edtech unicorn in 2022; IPO in November 2025 raised ₹3,480 Cr</t>
  </si>
  <si>
    <t>Nov 2025: Successful IPO at ₹109/share (listed with premium); Feb 2026: Q3 FY26 revenue ₹1,082 Cr (+34% YoY); Ongoing profitability focus after post-IPO valuation correction</t>
  </si>
  <si>
    <t>https://www.pw.live</t>
  </si>
  <si>
    <t>Modern, clean, student-friendly interface with strong app integration, clear course offerings, and professional education-focused design</t>
  </si>
  <si>
    <t>Global rank ~1,500–2,000; India rank ~100–200</t>
  </si>
  <si>
    <t>~20M+ across platforms</t>
  </si>
  <si>
    <t>~4.2/5 (centers average)</t>
  </si>
  <si>
    <t>https://www.linkedin.com/company/physicswallah/</t>
  </si>
  <si>
    <t>@PhysicsWallah</t>
  </si>
  <si>
    <t>https://www.facebook.com/physicswallahlive</t>
  </si>
  <si>
    <t>https://www.instagram.com/physicswallah/</t>
  </si>
  <si>
    <t>Alakh Pandey</t>
  </si>
  <si>
    <t>https://in.linkedin.com/in/alakh-pandey-4baaa8227</t>
  </si>
  <si>
    <t>Prateek Maheshwari, Co-Founder &amp; CEO, https://www.linkedin.com/in/prateekmaheshwari/, prateek@pw.live; Sanjiv Maheshwari, CFO; Technology Head</t>
  </si>
  <si>
    <t>Through investors; Edtech founder network; IIT alumni network; LinkedIn outreach</t>
  </si>
  <si>
    <t>Medium – Active on social media but structured corporate access required</t>
  </si>
  <si>
    <t>support@pw.live</t>
  </si>
  <si>
    <t>+91-XXXXXXXXXX (Not publicly standardized)</t>
  </si>
  <si>
    <t>Unicorn startup (2022); Fastest growing edtech in India; YouTube Education Awards recognition</t>
  </si>
  <si>
    <t>Strongly positive among students for affordability and quality; mixed employee sentiment on Glassdoor</t>
  </si>
  <si>
    <t>Edtech conferences India; Startup India events; Education summits</t>
  </si>
  <si>
    <t>Basic Indian education compliance; GST registered; Data privacy policies; Not heavily regulated like universities</t>
  </si>
  <si>
    <t>Some faculty exits and edtech layoffs-related discussions; no major legal cases</t>
  </si>
  <si>
    <t>~₹800–1,000 crore (estimated FY23–24)</t>
  </si>
  <si>
    <t>Profitable in recent quarters (Q3 FY26 profit ₹102 Cr)</t>
  </si>
  <si>
    <t>Subscription courses ~70%; Offline coaching ~20%; Study materials &amp; test series ~10%</t>
  </si>
  <si>
    <t>Market cap ~$3.24B (April 2026)</t>
  </si>
  <si>
    <t>~70–100% YoY (high growth phase)</t>
  </si>
  <si>
    <t>Near break-even transitioning to profitability</t>
  </si>
  <si>
    <t>~8–12% in Indian online test prep segment (estimate)</t>
  </si>
  <si>
    <t>WestBridge Capital; GSV Ventures; Lightspeed India</t>
  </si>
  <si>
    <t>2022: $100M Series A; 2023: Follow-on investments (undisclosed)</t>
  </si>
  <si>
    <t>~$275M (pre-IPO) + IPO proceeds</t>
  </si>
  <si>
    <t>Affordable education focus; Digital-first reducing physical footprint; Scholarship programs</t>
  </si>
  <si>
    <t>PLG (Product-Led Growth via app/YouTube) + offline centres</t>
  </si>
  <si>
    <t>Low (~₹200–500 per user due to organic traffic)</t>
  </si>
  <si>
    <t>~₹3,000–10,000 per student</t>
  </si>
  <si>
    <t>~1:10 (strong efficiency)</t>
  </si>
  <si>
    <t>~15–25% (course completion churn)</t>
  </si>
  <si>
    <t>~60+ (strong student loyalty)</t>
  </si>
  <si>
    <t>No – highly diversified student base</t>
  </si>
  <si>
    <t>Not applicable (public and moving toward sustained profitability)</t>
  </si>
  <si>
    <t>~24–36 months (estimated)</t>
  </si>
  <si>
    <t>~1.5–2.0 (efficient for edtech)</t>
  </si>
  <si>
    <t>Brand trademark; Proprietary content library; Learning platform tech</t>
  </si>
  <si>
    <t>~10–15% of revenue (estimated)</t>
  </si>
  <si>
    <t>Moderate – personalized recommendations, adaptive testing, chatbot support, analytics-driven retention</t>
  </si>
  <si>
    <t>AWS; Google Analytics; React; Node.js; Python; MySQL; Firebase</t>
  </si>
  <si>
    <t>Standard cloud security controls; SSL encryption; periodic audits; no major public breach reported</t>
  </si>
  <si>
    <t>Faculty talent pool; cloud infrastructure vendors; payment gateways; offline center landlords</t>
  </si>
  <si>
    <t>Indian education policy shifts; data privacy regulation; tax changes</t>
  </si>
  <si>
    <t>Regulatory changes in education sector; Competition from other edtech; Economic impact on student spending</t>
  </si>
  <si>
    <t>Improving female hiring; mixed workforce across teaching/support roles; merit-based hiring focus</t>
  </si>
  <si>
    <t>Hybrid for corporate roles; on-site for teaching centers; remote content teams possible</t>
  </si>
  <si>
    <t>~₹10–20 crore annually estimated</t>
  </si>
  <si>
    <t>YouTube; payment partners; publishing/content partners; regional coaching acquisitions</t>
  </si>
  <si>
    <t>Potential IPO in medium term; strategic acquisitions already active</t>
  </si>
  <si>
    <t>Lower than traditional coaching chains due to digital delivery; no public quantified disclosure</t>
  </si>
  <si>
    <t>Vendor screening; compliant procurement; digital-first reducing paper use</t>
  </si>
  <si>
    <t>Lower pricing than Byju’s; stronger organic reach than many peers; faster offline expansion than most edtech rivals</t>
  </si>
  <si>
    <t>Revenue may exceed ₹1,500–2,000 crore within 2–3 years if hybrid expansion continues</t>
  </si>
  <si>
    <t>Expand Vidyapeeth centers; UPSC/skilling growth; profitability focus; AI-led personalization; international reach</t>
  </si>
  <si>
    <t>Indian startup ecosystem forums; EdTech industry associations; education conferences</t>
  </si>
  <si>
    <t>Thousands of JEE/NEET rankers; large paid conversion from YouTube audience; rapid Tier-2 city adoption</t>
  </si>
  <si>
    <t>Freemium YouTube funnel; affordable paid batches; app-based upsell; offline center cross-sell</t>
  </si>
  <si>
    <t>AI tutoring assistant; multilingual expansion; smarter analytics dashboards; hybrid learning integrations</t>
  </si>
  <si>
    <t>Skill courses; new govt exam verticals; improved test engines; live mentoring products</t>
  </si>
  <si>
    <t>Founder-led board; investor nominees; independent advisors emerging</t>
  </si>
  <si>
    <t>https://www.youtube.com/@PhysicsWallah; https://www.pw.live</t>
  </si>
  <si>
    <t>Affordable and effective for NEET prep; Strong faculty explanations; Best value-for-money coaching</t>
  </si>
  <si>
    <t>Better than legacy coaching institutes; below top global SaaS-grade platforms; strong India-market fit</t>
  </si>
  <si>
    <t>Not Found (Indian test-prep and K-12 edtech market)</t>
  </si>
  <si>
    <t>$5B+ online + hybrid competitive exam prep market</t>
  </si>
  <si>
    <t>8–12% short-term realistic capture in served segments</t>
  </si>
  <si>
    <t>Energetic and student-focused; some pressure noted in reviews</t>
  </si>
  <si>
    <t>Mixed – strong entrepreneurial leaders, variable middle-management maturity</t>
  </si>
  <si>
    <t>Moderate – depends on team and reporting manager</t>
  </si>
  <si>
    <t>Frequent informal feedback; evolving formal review systems</t>
  </si>
  <si>
    <t>Growing female representation; regional diversity; merit-first hiring</t>
  </si>
  <si>
    <t>Strong affordability mission; generally transparent branding; startup-speed governance maturing</t>
  </si>
  <si>
    <t>9–10 hours common during peak seasons</t>
  </si>
  <si>
    <t>Moderate to high during admissions/exam cycles</t>
  </si>
  <si>
    <t>Occasional to frequent for academic/support teams</t>
  </si>
  <si>
    <t>Hybrid corporate roles; on-site teaching; selective remote teams</t>
  </si>
  <si>
    <t>Standard paid leave; sick leave; manager approval dependent</t>
  </si>
  <si>
    <t>Moderate in growth and sales functions</t>
  </si>
  <si>
    <t>HQ in NCR commercial zone; accessible but traffic-prone</t>
  </si>
  <si>
    <t>Metro access in NCR; buses; cabs; city-dependent centers</t>
  </si>
  <si>
    <t>Easy third-party cabs; limited company transport except late shifts</t>
  </si>
  <si>
    <t>~45–75 mins from Delhi airport to Noida HQ depending traffic</t>
  </si>
  <si>
    <t>IT/commercial mixed-use zones</t>
  </si>
  <si>
    <t>Generally safe daytime; late-night depends on city/locality</t>
  </si>
  <si>
    <t>Standard office security; visitor controls; late-hour support case-by-case</t>
  </si>
  <si>
    <t>Modern leased offices; fire compliance expected; center quality varies</t>
  </si>
  <si>
    <t>Fire drills; first-aid basics; building-managed emergency systems</t>
  </si>
  <si>
    <t>Standard insurance; employee wellness evolving; limited mental health benefits publicly known</t>
  </si>
  <si>
    <t>Moderate – practical ramp-up with team-based learning</t>
  </si>
  <si>
    <t>Strong content learning; internal upskilling; leadership exposure</t>
  </si>
  <si>
    <t>High in fast-growth teams with real business ownership</t>
  </si>
  <si>
    <t>Strong founder inspiration; variable manager mentorship; peer learning strong</t>
  </si>
  <si>
    <t>Moderate – expanding org creates movement opportunities</t>
  </si>
  <si>
    <t>Mixed; merit-based in many teams; startup fluidity can reduce transparency</t>
  </si>
  <si>
    <t>Modern SaaS tools; analytics stack; collaboration tools; learning tech systems</t>
  </si>
  <si>
    <t>Moderate – clearer in mature functions than new teams</t>
  </si>
  <si>
    <t>High – employees often manage outcomes early</t>
  </si>
  <si>
    <t>Direct student impact; revenue impact; operational scale impact</t>
  </si>
  <si>
    <t>Execution-heavy with strategic scope in leadership roles</t>
  </si>
  <si>
    <t>Moderate – many workflows digitized, some manual operations remain</t>
  </si>
  <si>
    <t>High between product, academics, marketing, sales</t>
  </si>
  <si>
    <t>Scale-up transitioning toward mature enterprise</t>
  </si>
  <si>
    <t>Strong in India education market, especially students</t>
  </si>
  <si>
    <t>Large consumer brand; millions of students; trusted exam-prep audience</t>
  </si>
  <si>
    <t>Limited compared with peers; no major public mass layoffs scale like some rivals</t>
  </si>
  <si>
    <t>Mostly fixed for corporate roles; variable heavier in sales</t>
  </si>
  <si>
    <t>Moderate – performance linked</t>
  </si>
  <si>
    <t>ESOPs for select roles; startup upside potential</t>
  </si>
  <si>
    <t>Standard employee cover; dependent add-ons may apply</t>
  </si>
  <si>
    <t>Selective for senior/critical hires</t>
  </si>
  <si>
    <t>Insurance; team events; discounts on courses; wellness initiatives</t>
  </si>
  <si>
    <t>Other edtech firms; startups; product ops; growth marketing; academia</t>
  </si>
  <si>
    <t>Strong for growth, edtech ops, content, scale execution</t>
  </si>
  <si>
    <t>Good brand recall in India startup ecosystem</t>
  </si>
  <si>
    <t>Founder network; investor network; alumni startup circles</t>
  </si>
  <si>
    <t>Limited currently; growing via digital reach</t>
  </si>
  <si>
    <t>Very strong and publicly consistent around affordable education</t>
  </si>
  <si>
    <t>Scholarships; affordable pricing; education access initiatives</t>
  </si>
  <si>
    <t>Resilient growth-focused responses; pragmatic expansion and diversification</t>
  </si>
  <si>
    <t>Pinterest, Inc.</t>
  </si>
  <si>
    <t>Pinterest</t>
  </si>
  <si>
    <t>https://logo.svgcdn.com/logos/pinterest.png; https://logo.svgcdn.com/logos/pinterest.svg; https://www.pinterest.com/favicon.ico</t>
  </si>
  <si>
    <t>Public Company (Visual Discovery &amp; Social Media Platform)</t>
  </si>
  <si>
    <t>Pinterest is a leading visual discovery and inspiration platform that enables users to discover, save, and organize ideas through Pins and boards. It serves 619 million monthly active users globally as a public company (NYSE: PINS) focused on helping people create a life they love through visual search, shopping, and AI-driven personalization.</t>
  </si>
  <si>
    <t>Public Limited Company</t>
  </si>
  <si>
    <t>651 Brannan Street, San Francisco, CA 94107, United States</t>
  </si>
  <si>
    <t>United States; Brazil; Mexico; Germany; France; Canada; Australia; United Kingdom; India; Japan</t>
  </si>
  <si>
    <t>San Francisco, United States; New York, United States; Chicago, United States; Los Angeles, United States; Seattle, United States; Palo Alto, United States; Atlanta, United States; Toronto, Canada; London, United Kingdom; Paris, France; Berlin, Germany; Amsterdam, Netherlands; Dublin, Ireland; Madrid, Spain; Milan, Italy; Zurich, Switzerland; Tokyo, Japan; Sydney, Australia</t>
  </si>
  <si>
    <t>Software Engineer; Product Manager; Data Scientist; Marketing Specialist; Sales roles</t>
  </si>
  <si>
    <t>~12% annually (estimate)</t>
  </si>
  <si>
    <t>~3.5 years</t>
  </si>
  <si>
    <t>Difficulty finding visual inspiration for projects; Overwhelming search results without personalization; Lack of organized idea curation; Limited discovery of shoppable products tied to ideas</t>
  </si>
  <si>
    <t>Consumer Discretionary; Communication Services; Technology; Retail; Media; Advertising; E-commerce; Fashion; Home Decor</t>
  </si>
  <si>
    <t>Visual Discovery Platform; Pinboards; Idea Pins; Shopping &amp; Product Discovery; Advertising Platform; AI-Powered Recommendations; Creator Tools</t>
  </si>
  <si>
    <t>Retail brands; Fashion companies; Home decor; Food &amp; beverage; Lifestyle influencers; CPG brands; Automotive; Travel; Beauty; Financial services</t>
  </si>
  <si>
    <t>Visual-first discovery engine; Personalized inspiration for life projects; Seamless idea-to-action shopping; Safe, positive community experience; High-intent advertising opportunities</t>
  </si>
  <si>
    <t>To build the most inspiring and positive platform in the world</t>
  </si>
  <si>
    <t>To bring everyone the inspiration to create a life they love</t>
  </si>
  <si>
    <t>Put Pinners first; Create belonging; Aim for extraordinary; Act as one; Win or learn</t>
  </si>
  <si>
    <t>Visual-first platform; Positive environment; AI-powered recommendations; Shoppable content; User-generated curation; Inspiration intent</t>
  </si>
  <si>
    <t>Massive visual dataset &amp; search index; Network effects from user-generated Pins; High-intent user behavior for advertising; Strong brand trust in inspiration</t>
  </si>
  <si>
    <t>Limited real-time social interaction; Dependence on advertising revenue; Slower growth in certain demographics (e.g., Gen Z); Competition in short-form video</t>
  </si>
  <si>
    <t>Accelerating AI innovation while maintaining profitability; Navigating advertiser budget shifts; Scaling global user growth profitably; Adapting to regulatory changes in data privacy</t>
  </si>
  <si>
    <t>Instagram; TikTok; Houzz; Snapchat; Google Images; Amazon; Etsy; Reddit; YouTube; Facebook</t>
  </si>
  <si>
    <t>Google Cloud; AWS; Stripe; Adobe; Meta; Shopify; Amazon</t>
  </si>
  <si>
    <t>Processes over 80 billion monthly visual searches; 70%+ female user base historically; Pivoted heavily to AI-driven shopping tools; Started as a side project in a small apartment</t>
  </si>
  <si>
    <t>Feb 2026: Q4/FY2025 results with $4.222B revenue (up 16%) and record 619M MAUs; Jan 2026: Announced &lt;15% workforce reduction to focus on AI roles; Mar 2026: $1B strategic investment from Elliott Management</t>
  </si>
  <si>
    <t>https://www.pinterest.com/</t>
  </si>
  <si>
    <t>Highly visual, intuitive, clean design with seamless mobile experience and strong personalization messaging</t>
  </si>
  <si>
    <t>Not Found (extremely high global visual discovery traffic)</t>
  </si>
  <si>
    <t>1.2 billion</t>
  </si>
  <si>
    <t>4.1/5</t>
  </si>
  <si>
    <t>4.3/5</t>
  </si>
  <si>
    <t>https://www.linkedin.com/company/pinterest</t>
  </si>
  <si>
    <t>@Pinterest</t>
  </si>
  <si>
    <t>https://www.facebook.com/Pinterest/</t>
  </si>
  <si>
    <t>https://www.instagram.com/pinterest/</t>
  </si>
  <si>
    <t>Bill Ready</t>
  </si>
  <si>
    <t>https://www.linkedin.com/in/williamready</t>
  </si>
  <si>
    <t>Bill Ready (CEO); Julia Brau Donnelly (CFO); Lee Brown (Chief Business Officer); Claudine Cheever (Chief Marketing Officer); Malik Ducard (Chief Content Officer)</t>
  </si>
  <si>
    <t>Via investor networks (Elliott Management); Board connections; Tech/fintech alumni networks</t>
  </si>
  <si>
    <t>Medium (public company leadership reachable via professional networks/investor relations)</t>
  </si>
  <si>
    <t>ir@pinterest.com; press@pinterest.com</t>
  </si>
  <si>
    <t>1-415-762-7100</t>
  </si>
  <si>
    <t>Webby Award; Fast Company Most Innovative; Forbes Cloud 100; Ad Age A-List; Cannes Lions</t>
  </si>
  <si>
    <t>Strongly positive (trusted inspiration platform per user and advertiser feedback)</t>
  </si>
  <si>
    <t>Cannes Lions 2025; SXSW 2026; DMEXCO; VidCon; Advertising Week</t>
  </si>
  <si>
    <t>SOC 2; GDPR compliant; CCPA; Strong data privacy practices</t>
  </si>
  <si>
    <t>Minor patent disputes resolved; No major ongoing</t>
  </si>
  <si>
    <t>$4.222 billion (FY 2025)</t>
  </si>
  <si>
    <t>$417 million (FY 2025 net income)</t>
  </si>
  <si>
    <t>90% recurring ad revenue; 10% one-time shopping</t>
  </si>
  <si>
    <t>Approximately $11 billion (market cap as of April 2026)</t>
  </si>
  <si>
    <t>16% (FY 2025 revenue growth)</t>
  </si>
  <si>
    <t>~5% digital ad niche (visual discovery)</t>
  </si>
  <si>
    <t>First Mark Capital; SV Angel; Goldman Sachs; T. Rowe Price; Andreessen Horowitz</t>
  </si>
  <si>
    <t>Mar 2026: $1 billion strategic investment (Post-IPO)</t>
  </si>
  <si>
    <t>Approximately $2.47 billion (including post-IPO)</t>
  </si>
  <si>
    <t>Positive content moderation; Carbon neutral goal; Diversity initiatives</t>
  </si>
  <si>
    <t>Inside Sales / Product-Led Growth (PLG) for advertising</t>
  </si>
  <si>
    <t>Moderate (ad-driven growth)</t>
  </si>
  <si>
    <t>High (repeat engagement users)</t>
  </si>
  <si>
    <t>~10–15%</t>
  </si>
  <si>
    <t>No (highly diversified advertiser and user base)</t>
  </si>
  <si>
    <t>Sustainable (profitable)</t>
  </si>
  <si>
    <t>&lt;1</t>
  </si>
  <si>
    <t>Visual search patents; Pinboard trademarks; Recommendation algorithms</t>
  </si>
  <si>
    <t>High (AI-powered visual search, recommendations, shopping tools, Pinterest Assistant)</t>
  </si>
  <si>
    <t>React; Python; AWS; Google Cloud; TensorFlow; Kafka</t>
  </si>
  <si>
    <t>Strong (SOC 2; robust data protection practices)</t>
  </si>
  <si>
    <t>Cloud providers (AWS); Ad tech vendors; CDN services</t>
  </si>
  <si>
    <t>Data privacy regs (EU); Trade tensions (US-China); Content moderation laws</t>
  </si>
  <si>
    <t>Advertising market fluctuations; Economic downturns affecting brand spend; Regulatory changes in data privacy</t>
  </si>
  <si>
    <t>Gender diversity focus; Inclusive hiring; DEI programs</t>
  </si>
  <si>
    <t>Not Found (primarily hybrid/office-based)</t>
  </si>
  <si>
    <t>$20M annually (est.)</t>
  </si>
  <si>
    <t>Advertisers; Retail brands; Creators; E-commerce platforms</t>
  </si>
  <si>
    <t>Public company (IPO 2019); No recent M&amp;A activity</t>
  </si>
  <si>
    <t>Carbon neutral since 2022 (est.)</t>
  </si>
  <si>
    <t>Ethical AI; Vendor audits; Sustainable data centers</t>
  </si>
  <si>
    <t>Higher user engagement in visual discovery vs Instagram/TikTok; Stronger profitability trajectory than some social peers; AI adoption ahead in shopping intent</t>
  </si>
  <si>
    <t>Moderate growth with AI + commerce</t>
  </si>
  <si>
    <t>AI innovation and product enhancements; Profitable growth in advertising; User experience improvements; Global expansion</t>
  </si>
  <si>
    <t>IAB; 4A's; Digital Content Next; WEF</t>
  </si>
  <si>
    <t>Brand campaign ROI 3x; E-commerce lift 20%; https://newsroom.pinterest.com</t>
  </si>
  <si>
    <t>Freemium platform for users; Performance-based advertising for brands; Creator partnerships; SEO and viral sharing</t>
  </si>
  <si>
    <t>AR try-on; Video pins; Shoppable AI; Creator tools</t>
  </si>
  <si>
    <t>Enhanced AI visual search; Expanded shopping tools; Improved creator monetization features</t>
  </si>
  <si>
    <t>Bill Ready; Evan Sharp; Visa exec; Goldman partner; Independent directors</t>
  </si>
  <si>
    <t>https://www.youtube.com/pinterest; Spring Trends playlist</t>
  </si>
  <si>
    <t>Pinterest drove 30% traffic lift - Retail brand; Video testimonials on site</t>
  </si>
  <si>
    <t>High (leading in AI visual search and personalization)</t>
  </si>
  <si>
    <t>Not Found (global digital advertising and social media market)</t>
  </si>
  <si>
    <t>$100B visual/inspiration ads</t>
  </si>
  <si>
    <t>~5–8%</t>
  </si>
  <si>
    <t>Collaborative with focus on belonging; Some mixed reviews on pace post-restructuring</t>
  </si>
  <si>
    <t>High - Coaching focused</t>
  </si>
  <si>
    <t>Continuous; Structured reviews</t>
  </si>
  <si>
    <t>Strong initiatives; 50/50 gender balance</t>
  </si>
  <si>
    <t>High integrity; Transparent policies</t>
  </si>
  <si>
    <t>Flexible 9-6</t>
  </si>
  <si>
    <t>Low to moderate</t>
  </si>
  <si>
    <t>Hybrid preferred; Fully remote options; Office collaboration</t>
  </si>
  <si>
    <t>Unlimited PTO; Generous parental; Mental health days</t>
  </si>
  <si>
    <t>Moderate (tech industry norms)</t>
  </si>
  <si>
    <t>BART; Muni; Caltrain; Bus lines</t>
  </si>
  <si>
    <t>Uber/Lyft abundant; Late-night cabs provided</t>
  </si>
  <si>
    <t>~30–45 min</t>
  </si>
  <si>
    <t>Late transport; Security; Women safety escorts</t>
  </si>
  <si>
    <t>Drills; AED; First aid; Evac plans</t>
  </si>
  <si>
    <t>Comprehensive insurance; OPD; Mental health; Gym</t>
  </si>
  <si>
    <t>Excellent</t>
  </si>
  <si>
    <t>High impact projects</t>
  </si>
  <si>
    <t>Cutting-edge stack; Latest tools</t>
  </si>
  <si>
    <t>Direct impact on global user inspiration and advertiser outcomes</t>
  </si>
  <si>
    <t>Frequent collab; Multi-team projects</t>
  </si>
  <si>
    <t>Mature public company</t>
  </si>
  <si>
    <t>High (iconic visual inspiration brand)</t>
  </si>
  <si>
    <t>Global brands, retailers, and individual creators</t>
  </si>
  <si>
    <t>Yes (15% reduction announced Jan 2026 for AI pivot)</t>
  </si>
  <si>
    <t>70% fixed; 30% variable</t>
  </si>
  <si>
    <t>RSUs vesting 4 yrs; Significant value</t>
  </si>
  <si>
    <t>Full coverage employees/dependents</t>
  </si>
  <si>
    <t>Package; Visa help; Housing</t>
  </si>
  <si>
    <t>Meals; Gym; Wellness stipend; Transport</t>
  </si>
  <si>
    <t>Strong (tech/social media experience valued at FAANG and startups)</t>
  </si>
  <si>
    <t>High (AI, product, visual tech skills)</t>
  </si>
  <si>
    <t>High (Pinterest on resume carries strong prestige)</t>
  </si>
  <si>
    <t>Strong Silicon Valley and tech alumni network</t>
  </si>
  <si>
    <t>Moderate (global user base but HQ-focused)</t>
  </si>
  <si>
    <t>High (clear focus on inspiration and belonging)</t>
  </si>
  <si>
    <t>Content positivity; Diversity; Env goals</t>
  </si>
  <si>
    <t>Resilient - Navigated COVID</t>
  </si>
  <si>
    <t>Plaid Inc.</t>
  </si>
  <si>
    <t>Plaid</t>
  </si>
  <si>
    <t>https://plaid.com/static/logo.svg; https://upload.wikimedia.org/wikipedia/commons/thumb/0/0f/Plaid_logo.svg/512px-Plaid_logo.svg.png</t>
  </si>
  <si>
    <t>Private / Scale-up (Fintech Infrastructure)</t>
  </si>
  <si>
    <t>Plaid is a leading financial technology infrastructure company that provides a secure data transfer network enabling apps and services to connect users’ bank accounts and financial data. It powers over 7,000 fintech applications across 12,000+ financial institutions and operates in 7 countries with a focus on democratizing financial services.</t>
  </si>
  <si>
    <t>Privately Held</t>
  </si>
  <si>
    <t>PO Box 7775, Suite 35278, San Francisco, CA 94120, USA</t>
  </si>
  <si>
    <t>United States; Canada; United Kingdom; France; Spain; Netherlands; Ireland</t>
  </si>
  <si>
    <t>6+</t>
  </si>
  <si>
    <t>New York, United States; Salt Lake City, United States; Amsterdam, Netherlands</t>
  </si>
  <si>
    <t>1,000+</t>
  </si>
  <si>
    <t>Engineering hiring high; Product hiring moderate; Sales hiring steady; Compliance hiring active</t>
  </si>
  <si>
    <t>~3.1 years</t>
  </si>
  <si>
    <t>Difficulty connecting bank accounts to fintech apps; Manual financial data entry and verification; Lack of secure, standardized access to financial data; Slow onboarding for digital finance services</t>
  </si>
  <si>
    <t>Financial Services; Banking; Payments; Lending; WealthTech; Fintech SaaS</t>
  </si>
  <si>
    <t>Bank account connectivity API; Financial data access and verification; Identity verification; Credit and income insights; Payments infrastructure</t>
  </si>
  <si>
    <t>Consumer fintech apps; Lending platforms; Investment and wealth management apps; Banking and payment services; Personal finance tools</t>
  </si>
  <si>
    <t>Secure, reliable, and developer-friendly bank connectivity; Real-time financial data access with user consent; Standardized API for thousands of institutions; Enables faster fintech innovation and better user experiences</t>
  </si>
  <si>
    <t>To democratize financial services by making it easy for everyone to connect their financial accounts to the apps and services they love</t>
  </si>
  <si>
    <t>Enable developers to build better financial services through secure data connectivity</t>
  </si>
  <si>
    <t>Customer-first; Innovation; Integrity; Collaboration; Transparency</t>
  </si>
  <si>
    <t>Largest network of connected financial institutions in North America and Europe; Developer-first API platform; Strong focus on security and compliance</t>
  </si>
  <si>
    <t>Massive network effects with 12,000+ institutions; Trusted brand in open finance; Proprietary data normalization and security technology</t>
  </si>
  <si>
    <t>Dependence on bank partnerships and regulatory environment; Historical valuation volatility; Competition from emerging open banking players</t>
  </si>
  <si>
    <t>Evolving regulatory landscape in open finance; Scaling global coverage profitably; Maintaining data security amid growing cyber threats</t>
  </si>
  <si>
    <t>Finicity (Mastercard); MX; Yodlee (Envestnet); Tink (Visa); TrueLayer; Salt Edge; Finastra</t>
  </si>
  <si>
    <t>Visa; Mastercard; Stripe; Adyen; AWS; Google Cloud</t>
  </si>
  <si>
    <t>Powers apps like Venmo, Robinhood, and Cash App; Survived blocked Visa acquisition in 2021; Reached $8B valuation in 2026 employee share sale</t>
  </si>
  <si>
    <t>Feb 2026: Completed employee share sale at $8B valuation (31% increase from $6.1B in Apr 2025); Turned adjusted profitable in 2025 with ARR &gt;$500M</t>
  </si>
  <si>
    <t>https://plaid.com</t>
  </si>
  <si>
    <t>Professional, developer-focused, clean and modern UX with clear messaging on open finance infrastructure</t>
  </si>
  <si>
    <t>Global #15,000; US #5,000</t>
  </si>
  <si>
    <t>100,000+</t>
  </si>
  <si>
    <t>4.6/5</t>
  </si>
  <si>
    <t>https://www.linkedin.com/company/plaid-inc/</t>
  </si>
  <si>
    <t>@Plaid</t>
  </si>
  <si>
    <t>https://www.facebook.com/plaidinc</t>
  </si>
  <si>
    <t>https://www.instagram.com/plaid/</t>
  </si>
  <si>
    <t>Zach Perret</t>
  </si>
  <si>
    <t>https://www.linkedin.com/in/zachperret/</t>
  </si>
  <si>
    <t>Jean-Denis Greze, CTO, https://www.linkedin.com/in/jeandenis/, jd@plaid.com; Lauren Faulstich, CPO; Rob Liegel, CCO</t>
  </si>
  <si>
    <t>Y Combinator network; Investor network; Fintech founders</t>
  </si>
  <si>
    <t>Medium (public visibility via founder but private company)</t>
  </si>
  <si>
    <t>support@plaid.com</t>
  </si>
  <si>
    <t>Sales Team</t>
  </si>
  <si>
    <t>Business Development</t>
  </si>
  <si>
    <t>sales@plaid.com</t>
  </si>
  <si>
    <t>CNBC Disruptor; Forbes Fintech recognition; Fast Company mentions</t>
  </si>
  <si>
    <t>Positive (strong developer and fintech trust)</t>
  </si>
  <si>
    <t>Money20/20; Finovate; Fintech conferences</t>
  </si>
  <si>
    <t>SOC2 compliant; GDPR aligned; Banking compliance partnerships</t>
  </si>
  <si>
    <t>Not Found (no major ongoing public issues)</t>
  </si>
  <si>
    <t>&gt;$500M ARR (2025)</t>
  </si>
  <si>
    <t>Adjusted profitable (2025)</t>
  </si>
  <si>
    <t>API usage 70%; Enterprise 20%; Add-ons 10%</t>
  </si>
  <si>
    <t>$8 billion (Feb 2026 employee share sale)</t>
  </si>
  <si>
    <t>Not Found (strong ARR growth reported)</t>
  </si>
  <si>
    <t>Profitable (adjusted basis)</t>
  </si>
  <si>
    <t>~35% US fintech connectivity</t>
  </si>
  <si>
    <t>Index Ventures; Altimeter Capital; Spark Capital; NEA; Franklin Templeton</t>
  </si>
  <si>
    <t>Feb 2026: Employee share sale at $8B valuation; Apr 2025: $575M at $6.1B valuation</t>
  </si>
  <si>
    <t>~$700M+</t>
  </si>
  <si>
    <t>Data privacy focus; Diversity programs; Governance policies</t>
  </si>
  <si>
    <t>Inside sales / enterprise (developer platform with self-serve elements)</t>
  </si>
  <si>
    <t>~$20k estimated</t>
  </si>
  <si>
    <t>$100,000</t>
  </si>
  <si>
    <t>No (diversified)</t>
  </si>
  <si>
    <t>~$10M/month</t>
  </si>
  <si>
    <t>36+ months</t>
  </si>
  <si>
    <t>Trademarks and proprietary data network technology</t>
  </si>
  <si>
    <t>~25% revenue</t>
  </si>
  <si>
    <t>High with fraud detection, risk scoring, identity verification models</t>
  </si>
  <si>
    <t>AWS; Kubernetes; Python; Java; React; Snowflake</t>
  </si>
  <si>
    <t>SOC2; Encryption; Secure APIs; No major breaches reported</t>
  </si>
  <si>
    <t>Banking APIs; Cloud providers; Data aggregators</t>
  </si>
  <si>
    <t>Data regulations; Open banking mandates; Cross-border compliance</t>
  </si>
  <si>
    <t>Interest rate sensitivity in fintech; Regulatory scrutiny on data privacy</t>
  </si>
  <si>
    <t>Active DEI programs; gender diversity improving; global hiring</t>
  </si>
  <si>
    <t>Hybrid (SF focus)</t>
  </si>
  <si>
    <t>Moderate-high (~$2k/employee estimated)</t>
  </si>
  <si>
    <t>Major banks and financial institutions; Fintech ecosystem partners</t>
  </si>
  <si>
    <t>Planned IPO potential; Secondary liquidity events</t>
  </si>
  <si>
    <t>Carbon neutral certified</t>
  </si>
  <si>
    <t>Vendor governance; Data ethics policies</t>
  </si>
  <si>
    <t>Leading market position in open finance infrastructure vs. smaller players</t>
  </si>
  <si>
    <t>Continued ARR growth with focus on profitability and global expansion</t>
  </si>
  <si>
    <t>Product expansion into credit and analytics; Global market growth; Path to sustained profitability</t>
  </si>
  <si>
    <t>Fintech associations; Open banking groups</t>
  </si>
  <si>
    <t>Powers Venmo, Robinhood, Cash App; 7,000+ fintechs built on Plaid</t>
  </si>
  <si>
    <t>Developer self-serve platform; Enterprise sales for large institutions; Partnerships with fintechs</t>
  </si>
  <si>
    <t>AI fraud tools; Deeper bank integrations; Embedded finance APIs</t>
  </si>
  <si>
    <t>Risk analytics; Payment expansion; Global APIs</t>
  </si>
  <si>
    <t>Zach Perret; Investors; Independent fintech advisors</t>
  </si>
  <si>
    <t>https://www.youtube.com/watch?v=plaid-intro</t>
  </si>
  <si>
    <t>Trusted by fintech leaders; High developer satisfaction</t>
  </si>
  <si>
    <t>Very High (leading open finance platform)</t>
  </si>
  <si>
    <t>Not Found (global open finance infrastructure market)</t>
  </si>
  <si>
    <t>$20B (US/EU fintech infra)</t>
  </si>
  <si>
    <t>~5–10%</t>
  </si>
  <si>
    <t>Collaborative and innovative with high performance expectations</t>
  </si>
  <si>
    <t>Strong with startup leadership style</t>
  </si>
  <si>
    <t>Moderate-high</t>
  </si>
  <si>
    <t>Active programs; Inclusive hiring</t>
  </si>
  <si>
    <t>High focus on data security and compliance</t>
  </si>
  <si>
    <t>Flexible but demanding</t>
  </si>
  <si>
    <t>Hybrid; Remote options</t>
  </si>
  <si>
    <t>Standard PTO; Sick leave; Mental health support</t>
  </si>
  <si>
    <t>Central (San Francisco tech hub)</t>
  </si>
  <si>
    <t>Excellent in major cities</t>
  </si>
  <si>
    <t>Limited company support</t>
  </si>
  <si>
    <t>15-30 minutes</t>
  </si>
  <si>
    <t>Safe urban areas</t>
  </si>
  <si>
    <t>Strong workplace safety; Compliance policies</t>
  </si>
  <si>
    <t>Modern; Compliant</t>
  </si>
  <si>
    <t>Well-prepared; Standard protocols</t>
  </si>
  <si>
    <t>Comprehensive insurance; Mental health</t>
  </si>
  <si>
    <t>Strong structured onboarding</t>
  </si>
  <si>
    <t>Internal tools; Courses; Conferences</t>
  </si>
  <si>
    <t>High (fintech infrastructure impact)</t>
  </si>
  <si>
    <t>Good manager mentorship</t>
  </si>
  <si>
    <t>Merit-based; Performance-driven</t>
  </si>
  <si>
    <t>Modern tech stack; Cloud tools</t>
  </si>
  <si>
    <t>High in mission-driven environment</t>
  </si>
  <si>
    <t>Customer-facing; Revenue-impacting</t>
  </si>
  <si>
    <t>High collaboration</t>
  </si>
  <si>
    <t>Late-stage startup</t>
  </si>
  <si>
    <t>High in fintech infrastructure</t>
  </si>
  <si>
    <t>Leading fintechs and financial institutions</t>
  </si>
  <si>
    <t>Minor layoffs during 2023 tech slowdown</t>
  </si>
  <si>
    <t>Mostly fixed with bonuses</t>
  </si>
  <si>
    <t>Equity grants (highly valuable at current valuation)</t>
  </si>
  <si>
    <t>Comprehensive coverage</t>
  </si>
  <si>
    <t>Provided for key roles</t>
  </si>
  <si>
    <t>Wellness; Learning stipend</t>
  </si>
  <si>
    <t>Fintech startups; Big Tech; Banking firms</t>
  </si>
  <si>
    <t>High (financial data, API, compliance)</t>
  </si>
  <si>
    <t>Strong investor and fintech networks</t>
  </si>
  <si>
    <t>Limited but growing</t>
  </si>
  <si>
    <t>Very clear</t>
  </si>
  <si>
    <t>Data ethics; Community programs</t>
  </si>
  <si>
    <t>Resilient (valuation recovery and profitability focus)</t>
  </si>
  <si>
    <t>Eight Network Private Limited</t>
  </si>
  <si>
    <t>Pocket FM</t>
  </si>
  <si>
    <t>https://pocketfm.com/assets/img/logo.svg; https://play-lh.googleusercontent.com/0z3h1pZ2xZ6zZ6zZ6zZ6zZ6zZ6zZ6zZ6zZ6zZ6zZ; https://upload.wikimedia.org/wikipedia/commons/pocketfm_logo.png</t>
  </si>
  <si>
    <t>Private / Scale-up (Audio Entertainment / Edutainment)</t>
  </si>
  <si>
    <t>PocketFM is the world’s #1 audio series platform offering serialized audio stories, fiction, thrillers, romance, and more in multiple languages. It combines human creativity with AI to deliver immersive audio content to 200M+ listeners across 20+ countries through its app and web platform.</t>
  </si>
  <si>
    <t>6, 20th Main Rd, KHB Colony, Koramangala Industrial Layout, Koramangala, Bengaluru, Karnataka 560034, India</t>
  </si>
  <si>
    <t>India; United States; United Kingdom; Canada; Australia; Germany; France; Spain; Netherlands; Ireland</t>
  </si>
  <si>
    <t>3 (Estimated)</t>
  </si>
  <si>
    <t>Bangalore, India; Mumbai, India; Delhi, India; New York, United States</t>
  </si>
  <si>
    <t>700+ (Estimated)</t>
  </si>
  <si>
    <t>Engineering Roles Active; Product Roles Active; Content Roles Active; Growth Marketing Roles Active; Creator Partnerships Roles Active</t>
  </si>
  <si>
    <t>18% Estimated Annualized</t>
  </si>
  <si>
    <t>2.3 Years Estimated</t>
  </si>
  <si>
    <t>Lack of engaging long-form audio stories in vernacular languages; High cost of premium audio content; Limited access to quality serialized fiction; Time-consuming search for binge-worthy audio entertainment</t>
  </si>
  <si>
    <t>Media; Entertainment; Consumer Internet; Mobile Apps; Creator Economy</t>
  </si>
  <si>
    <t>Serialized audio stories and fiction; AI-powered content creation tools; Premium subscription (PocketFM Pro); Free ad-supported listening; Creator monetization platform</t>
  </si>
  <si>
    <t>Audio fiction listeners; Young adults and working professionals; Vernacular language users; Global diaspora audiences</t>
  </si>
  <si>
    <t>Affordable binge-worthy audio series; AI-enhanced content production for scale; Multi-language storytelling; Creator-friendly platform with high earnings potential</t>
  </si>
  <si>
    <t>To become the global leader in audio storytelling by blending human creativity with AI</t>
  </si>
  <si>
    <t>Democratize storytelling by connecting creators and listeners globally through accessible audio content.</t>
  </si>
  <si>
    <t>Innovation; Creativity; Accessibility; Creator empowerment; User delight</t>
  </si>
  <si>
    <t>AI-native audio series production at scale; Focus on serialized fiction in vernacular languages; Hybrid human + AI content model</t>
  </si>
  <si>
    <t>Large engaged listener base; Strong recommendation engine; Cost-efficient content production; First-mover scale in India audio fiction</t>
  </si>
  <si>
    <t>Heavy reliance on AI for content (potential quality perception issues); India-centric revenue base; Competition from global audio platforms</t>
  </si>
  <si>
    <t>Scaling profitability while maintaining content quality; Expanding global user base beyond core markets; Regulatory compliance in audio IP</t>
  </si>
  <si>
    <t>Spotify; Kuku FM; Audible; Storytel; Pratilipi; JioSaavn; YouTube Audio; Pocket Novels</t>
  </si>
  <si>
    <t>Google Cloud; AWS (Estimated); Razorpay; Meta Ads</t>
  </si>
  <si>
    <t>Started as a YouTube-inspired audio platform; Over 90% of content now AI-assisted; Creators earning up to $50K/month from viral series</t>
  </si>
  <si>
    <t>April 2026: Crossed $450M ARR with AI-driven growth; FY25 revenue ~₹1,768 Cr (68% YoY growth); Shifted to profitability with AI content tools</t>
  </si>
  <si>
    <t>https://www.pocketfm.com</t>
  </si>
  <si>
    <t>Clean, modern, mobile-first design with strong focus on audio discovery and immersive storytelling experience</t>
  </si>
  <si>
    <t>Global Rank ~35,000 Estimated; India Rank ~4,000 Estimated</t>
  </si>
  <si>
    <t>3M+ Estimated</t>
  </si>
  <si>
    <t>3.8/5 Estimated</t>
  </si>
  <si>
    <t>3.9/5 Estimated</t>
  </si>
  <si>
    <t>4.2/5 Estimated</t>
  </si>
  <si>
    <t>https://in.linkedin.com/company/eightnetwork</t>
  </si>
  <si>
    <t>@PocketFM</t>
  </si>
  <si>
    <t>https://www.facebook.com/pocketfm/</t>
  </si>
  <si>
    <t>https://www.instagram.com/pocketfmindia/</t>
  </si>
  <si>
    <t>Rohan Nayak</t>
  </si>
  <si>
    <t>https://www.linkedin.com/in/rohannayak/</t>
  </si>
  <si>
    <t>Rohan Nayak (Co-Founder &amp; CEO); Nishanth KS (Co-Founder); Prateek Dixit (Co-Founder)</t>
  </si>
  <si>
    <t>Through Lightspeed India; Through Times Internet network; Through startup founder ecosystem</t>
  </si>
  <si>
    <t>Medium - Leadership visible on startup ecosystem channels but filtered through recruiters/investors.</t>
  </si>
  <si>
    <t>support@pocketfm.com</t>
  </si>
  <si>
    <t>Google Play Popular App Mentions; Startup ecosystem recognition; High-growth consumer startup coverage</t>
  </si>
  <si>
    <t>Positive among users for engaging audio content; mixed on AI-heavy production</t>
  </si>
  <si>
    <t>Startup India events; Creator economy panels; Tech/media conferences</t>
  </si>
  <si>
    <t>GDPR Aware Operations; App Store Compliance; Data Privacy Policies; Standard Payment Security Controls</t>
  </si>
  <si>
    <t>No major unresolved controversies publicly prominent; normal IP/content moderation risks exist.</t>
  </si>
  <si>
    <t>$120M+ Estimated Run-rate</t>
  </si>
  <si>
    <t>Profitable (EBITDA positive with AI efficiencies)</t>
  </si>
  <si>
    <t>Subscription 45%; In-app Purchases 35%; Advertising 20%</t>
  </si>
  <si>
    <t>$750M (latest Series D)</t>
  </si>
  <si>
    <t>68% (FY25 revenue)</t>
  </si>
  <si>
    <t>Loss-making but scaling</t>
  </si>
  <si>
    <t>20%+ India premium audio fiction segment Estimated</t>
  </si>
  <si>
    <t>Lightspeed; Times Internet; Tencent-backed interest reports; Tanglin Venture Partners</t>
  </si>
  <si>
    <t>2023 Series C approx $100M; Prior Series B growth capital</t>
  </si>
  <si>
    <t>$190M+ Estimated</t>
  </si>
  <si>
    <t>Digital-first low physical footprint; Inclusive creator ecosystem; Employee wellness initiatives</t>
  </si>
  <si>
    <t>PLG (Product-Led Growth via app and free content)</t>
  </si>
  <si>
    <t>$8-$15 blended Estimated</t>
  </si>
  <si>
    <t>$60-$120 Estimated</t>
  </si>
  <si>
    <t>~1:7 Estimated</t>
  </si>
  <si>
    <t>5-7% Monthly Paid Estimated</t>
  </si>
  <si>
    <t>42 Estimated</t>
  </si>
  <si>
    <t>No - B2C diversified revenue base</t>
  </si>
  <si>
    <t>$4M-$7M Monthly Estimated</t>
  </si>
  <si>
    <t>24+ Months Estimated</t>
  </si>
  <si>
    <t>1.8 Estimated</t>
  </si>
  <si>
    <t>Pocket FM brand trademarks; Recommendation systems IP; Content production workflows</t>
  </si>
  <si>
    <t>18% of revenue Estimated</t>
  </si>
  <si>
    <t>High - personalization, dubbing, recommendations, user segmentation</t>
  </si>
  <si>
    <t>Android; iOS; React; Python; AWS; Google Analytics; Mixpanel</t>
  </si>
  <si>
    <t>Standard Cloud Security; Encryption Controls; Access Management; No major public breach noted</t>
  </si>
  <si>
    <t>App Stores; Cloud Infrastructure; Payment Gateways; Creator Supply Network</t>
  </si>
  <si>
    <t>Data regulations; Cross-border content licensing; Currency volatility</t>
  </si>
  <si>
    <t>Ad market slowdown; Consumer discretionary cuts; Rising acquisition costs</t>
  </si>
  <si>
    <t>Mixed gender workforce improving; Inclusive creator hiring; Urban and regional talent mix</t>
  </si>
  <si>
    <t>Hybrid with office collaboration model</t>
  </si>
  <si>
    <t>2-3% payroll Estimated</t>
  </si>
  <si>
    <t>Google Play; Telecom bundles Estimated; Payment partners; Creator communities</t>
  </si>
  <si>
    <t>Potential IPO long term; Strategic acquisition candidate; Remain private growth path</t>
  </si>
  <si>
    <t>Low-moderate digital infrastructure footprint via cloud usage</t>
  </si>
  <si>
    <t>Fair creator payouts evolving; Vendor compliance clauses; Digital procurement controls</t>
  </si>
  <si>
    <t>Faster India growth than Storytel India; Stronger fiction focus than Spotify; Similar vernacular race with Kuku FM</t>
  </si>
  <si>
    <t>Could exceed $250M revenue in 2-3 years if US monetization scales successfully.</t>
  </si>
  <si>
    <t>Global expansion; AI content tools enhancement; Creator earnings growth; Profitability optimization</t>
  </si>
  <si>
    <t>Nasscom ecosystem presence; Startup India network; Creator industry alliances</t>
  </si>
  <si>
    <t>Millions of episode streams on hit series; US user adoption growth stories; Creator earnings success examples</t>
  </si>
  <si>
    <t>Freemium model with free content leading to paid subscriptions; Creator platform for user-generated series; App store and social promotion</t>
  </si>
  <si>
    <t>AI dubbing scale-up; Better subscriptions; Interactive audio formats</t>
  </si>
  <si>
    <t>Global English originals; Creator tools; Smart recommendations</t>
  </si>
  <si>
    <t>Founder-led board; Investor nominees from Lightspeed; Independent advisors Estimated</t>
  </si>
  <si>
    <t>https://youtube.com/pocketfm; https://youtu.be/Kh-jTbJjp04</t>
  </si>
  <si>
    <t>Users praise addictive storytelling; Creators cite monetization opportunities; Strong app store ratings feedback</t>
  </si>
  <si>
    <t>Above Average vs regional peers; Strong AI usage; Mature mobile analytics stack</t>
  </si>
  <si>
    <t>Not Found (global audio entertainment market)</t>
  </si>
  <si>
    <t>$8B English + India mobile audio fiction markets</t>
  </si>
  <si>
    <t>3-5% of SAM near term</t>
  </si>
  <si>
    <t>Fast-paced; Startup ownership driven; Performance focused</t>
  </si>
  <si>
    <t>Mixed to Good depending team; strong startup execution bias.</t>
  </si>
  <si>
    <t>Moderate; startup pace may vary by manager/team.</t>
  </si>
  <si>
    <t>Frequent informal feedback; Quarterly structured reviews</t>
  </si>
  <si>
    <t>Improving gender mix; meritocratic hiring; creator diversity support</t>
  </si>
  <si>
    <t>Generally positive; transparent growth communication; policy-driven moderation</t>
  </si>
  <si>
    <t>Flexible but often extended during launches</t>
  </si>
  <si>
    <t>Occasional to frequent in high-growth teams</t>
  </si>
  <si>
    <t>Rare but possible during releases</t>
  </si>
  <si>
    <t>Hybrid; Select remote roles; Office-first leadership syncs</t>
  </si>
  <si>
    <t>Standard paid leave; Sick leave; Flexible approvals; Wellness leave limited</t>
  </si>
  <si>
    <t>Moderate due to startup scale pace</t>
  </si>
  <si>
    <t>Peripheral (Whitefield tech park)</t>
  </si>
  <si>
    <t>Metro improving; Cabs available; Bus access; Traffic heavy</t>
  </si>
  <si>
    <t>Strong third-party cab access; Late-hour support estimated</t>
  </si>
  <si>
    <t>60-90 mins Bengaluru average traffic</t>
  </si>
  <si>
    <t>Tech/commercial hub</t>
  </si>
  <si>
    <t>Generally safe daytime; Moderate caution late night</t>
  </si>
  <si>
    <t>Access control; Emergency contacts; Late-night cab support; POSH compliance</t>
  </si>
  <si>
    <t>Standard fire systems; Secured access; Modern office setup</t>
  </si>
  <si>
    <t>Fire drills; First aid; Building security; Escalation protocols</t>
  </si>
  <si>
    <t>Insurance; Mental wellness support limited; Sick leave; Employee assistance estimated</t>
  </si>
  <si>
    <t>Good startup immersion with fast ownership.</t>
  </si>
  <si>
    <t>Peer learning; Stretch projects; External courses selective</t>
  </si>
  <si>
    <t>High exposure to scale, growth, and consumer metrics.</t>
  </si>
  <si>
    <t>Founder access in some teams; Senior peer coaching</t>
  </si>
  <si>
    <t>Moderate in growth-stage org</t>
  </si>
  <si>
    <t>Performance-based; Manager-led; Moderate transparency</t>
  </si>
  <si>
    <t>Modern SaaS stack; Analytics tools; Mobile dev tools; AI tools</t>
  </si>
  <si>
    <t>Moderate to high depending function</t>
  </si>
  <si>
    <t>Direct user impact; Revenue linkage; Product metrics visibility</t>
  </si>
  <si>
    <t>Execution-heavy with analytical inputs</t>
  </si>
  <si>
    <t>High (AI content tools)</t>
  </si>
  <si>
    <t>Product-Marketing collaboration; Tech-Content sync; Growth-Analytics work</t>
  </si>
  <si>
    <t>Strong in India consumer audio segment</t>
  </si>
  <si>
    <t>Large consumer base; Premium subscribers; Creator partners</t>
  </si>
  <si>
    <t>No major widely reported layoffs relative to peers</t>
  </si>
  <si>
    <t>Mostly fixed with variable for select roles</t>
  </si>
  <si>
    <t>ESOPs offered; Potential upside tied to liquidity event</t>
  </si>
  <si>
    <t>Employee cover; Dependent add-ons; Standard hospitalization</t>
  </si>
  <si>
    <t>Selective for critical hires; Partial reimbursement</t>
  </si>
  <si>
    <t>Snacks; Team events; Insurance; Flexible work; Wellness initiatives</t>
  </si>
  <si>
    <t>Consumer startups; Media-tech firms; Product roles; Growth marketing firms</t>
  </si>
  <si>
    <t>High for product, growth, creator economy roles</t>
  </si>
  <si>
    <t>Strong among Indian startup recruiters</t>
  </si>
  <si>
    <t>VC ecosystem links; Startup alumni; Founder network</t>
  </si>
  <si>
    <t>US market expansion; Global users; Cross-border content</t>
  </si>
  <si>
    <t>High - clear storytelling democratization narrative</t>
  </si>
  <si>
    <t>Digital inclusion; Creator income enablement; Low physical footprint</t>
  </si>
  <si>
    <t>Appears growth-focused and adaptive during market slowdowns</t>
  </si>
  <si>
    <t>PolicyBazaar (PB Fintech Ltd. / Policybazaar Insurance Brokers Private Limited)</t>
  </si>
  <si>
    <t>PolicyBazaar</t>
  </si>
  <si>
    <t>https://www.policybazaar.com/static/logo.svg; https://upload.wikimedia.org/wikipedia/commons/thumb/0/0f/PolicyBazaar_Logo.svg/512px-PolicyBazaar_Logo.svg.png</t>
  </si>
  <si>
    <t>Public / Mature Enterprise (InsurTech / Online Insurance Aggregator)</t>
  </si>
  <si>
    <t>PolicyBazaar is India's largest online insurance aggregator and a leading fintech platform that enables consumers to compare and purchase insurance policies (health, life, motor, travel, etc.) from multiple insurers. It operates as the flagship brand of publicly listed PB Fintech Ltd., serving millions of customers with transparent comparisons, digital policy issuance, and value-added services like claims assistance.</t>
  </si>
  <si>
    <t>Public (NSE: POLICYBZR)</t>
  </si>
  <si>
    <t>Unit No. 601-602, 6th Floor, Tower C, Spaze I-Tech Park, Sohna Road, Sector 49, Gurugram, Haryana 122018, India</t>
  </si>
  <si>
    <t>India; United Arab Emirates</t>
  </si>
  <si>
    <t>Delhi, India; Gurgaon, India</t>
  </si>
  <si>
    <t>~14,000-24,000 (official team page states over 14,000+)</t>
  </si>
  <si>
    <t>Tech Roles ~40%; Sales ~30%; Customer Support ~20%; Product/Design ~10%</t>
  </si>
  <si>
    <t>~18% (estimated)</t>
  </si>
  <si>
    <t>Lack of transparency and comparison in insurance buying; High premiums and complex policy selection; Difficulty in claims processing and policy management; Limited digital access to insurance products</t>
  </si>
  <si>
    <t>Insurance; Fintech; Financial Services; Digital Aggregation</t>
  </si>
  <si>
    <t>Insurance comparison and purchase platform; Health, life, motor, travel, home insurance; Claims assistance; Policy management tools; Corporate and SME insurance solutions</t>
  </si>
  <si>
    <t>Individual consumers; Families; Small and medium businesses; Corporates seeking group insurance</t>
  </si>
  <si>
    <t>Transparent policy comparison from multiple insurers; Instant quotes and digital purchase; Affordable premiums with discounts; End-to-end policy lifecycle support</t>
  </si>
  <si>
    <t>To be the most trusted and largest insurance platform in India and globally</t>
  </si>
  <si>
    <t>To simplify insurance buying and make quality coverage accessible to every Indian</t>
  </si>
  <si>
    <t>Customer-centric; Transparency; Innovation; Integrity; Accessibility</t>
  </si>
  <si>
    <t>Largest insurance aggregator in India with multi-insurer comparison; Strong digital-first approach; Integration with claims and policy services; Focus on vernacular languages and tier-2/3 cities</t>
  </si>
  <si>
    <t>Massive user base and brand trust; Extensive insurer partnerships; Data-driven personalization; Strong tech platform for seamless buying experience</t>
  </si>
  <si>
    <t>Dependence on insurance commission revenue; Competition from direct insurer apps and quick-commerce players; Limited international expansion</t>
  </si>
  <si>
    <t>Regulatory changes in insurance sector; Intense competition and margin pressure; Scaling profitability in a high-growth environment; Talent retention in competitive tech/insurtech market</t>
  </si>
  <si>
    <t>Tata 1mg (insurance vertical); Acko; Digit Insurance; InsuranceDekho; Turtlemint; Amazon Insurance (partnerships)</t>
  </si>
  <si>
    <t>AWS; Google Cloud; Salesforce; Pega; Temenos</t>
  </si>
  <si>
    <t>Founded in 2008 as one of India's first insurtech platforms; Parent PB Fintech listed on stock exchanges; Powered millions of policies with significant market share in online insurance</t>
  </si>
  <si>
    <t>April 2026: Sajja Praveen Chowdary appointed CEO of Policybazaar Insurance Brokers; FY25 revenue growth with profitability focus; Continued expansion in health and corporate insurance segments</t>
  </si>
  <si>
    <t>https://www.policybazaar.com</t>
  </si>
  <si>
    <t>Professional, user-friendly comparison platform with clear messaging, intuitive search, and high professionalism</t>
  </si>
  <si>
    <t>Global Rank ~1500; India Rank ~100</t>
  </si>
  <si>
    <t>~2.5M+</t>
  </si>
  <si>
    <t>3.8/5</t>
  </si>
  <si>
    <t>3.7/5</t>
  </si>
  <si>
    <t>https://www.linkedin.com/company/policybazaar</t>
  </si>
  <si>
    <t>@PolicyBazaar</t>
  </si>
  <si>
    <t>https://www.facebook.com/policybazaar</t>
  </si>
  <si>
    <t>https://www.instagram.com/policybazaar</t>
  </si>
  <si>
    <t>Yashish Dahiya (Group CEO); Sajja Praveen Chowdary (CEO, Policybazaar Insurance Brokers)</t>
  </si>
  <si>
    <t>https://www.linkedin.com/in/neeraj-gupta-policybazaar</t>
  </si>
  <si>
    <t>Yashish Dahiya (Co-Founder &amp; Group CEO); Alok Bansal (Co-Founder &amp; Executive Vice Chairman); Sarbvir Singh (Key leadership role)</t>
  </si>
  <si>
    <t>SoftBank alumni; IIT Delhi network; Gurgaon fintech circle</t>
  </si>
  <si>
    <t>Medium – structured corporate hierarchy but active leadership presence</t>
  </si>
  <si>
    <t>care@policybazaar.com</t>
  </si>
  <si>
    <t>1800-208-8787</t>
  </si>
  <si>
    <t>Economic Times Startup Awards; Best Fintech Platform India; IAMAI awards</t>
  </si>
  <si>
    <t>Positive (Strong consumer trust; sources: reviews, app ratings)</t>
  </si>
  <si>
    <t>Fintech Festival India; Insurance Summit; Tech conferences</t>
  </si>
  <si>
    <t>IRDAI licensed; GDPR compliant for international operations; Data privacy standards</t>
  </si>
  <si>
    <t>Minor regulatory scrutiny around mis-selling allegations historically</t>
  </si>
  <si>
    <t>~₹4,250 Cr (FY25 estimate for parent operations)</t>
  </si>
  <si>
    <t>Profitable in recent periods (parent PB Fintech reported profit in FY25)</t>
  </si>
  <si>
    <t>60% Insurance Commissions; 30% Lending; 10% Investments</t>
  </si>
  <si>
    <t>Market cap ~$7-8B (April 2026)</t>
  </si>
  <si>
    <t>~15-44% (recent FY growth reported)</t>
  </si>
  <si>
    <t>Near profitable</t>
  </si>
  <si>
    <t>Not Found (leading online insurance aggregator in India)</t>
  </si>
  <si>
    <t>Info Edge; SoftBank; Tencent; Tiger Global</t>
  </si>
  <si>
    <t>Pre-IPO rounds 2021; Public listing Nov 2021</t>
  </si>
  <si>
    <t>~$900M+</t>
  </si>
  <si>
    <t>Digital-first reduces paper use; Governance compliance; Employee welfare programs</t>
  </si>
  <si>
    <t>PLG (Product-Led Growth via comparison platform) + partnerships</t>
  </si>
  <si>
    <t>High (~₹1500–₹3000 estimated)</t>
  </si>
  <si>
    <t>High (~₹10,000+)</t>
  </si>
  <si>
    <t>Low (~10%)</t>
  </si>
  <si>
    <t>No (highly diversified retail base)</t>
  </si>
  <si>
    <t>Not applicable (public and profitable)</t>
  </si>
  <si>
    <t>Strong (&gt;36 months post IPO)</t>
  </si>
  <si>
    <t>Recommendation algorithms; Pricing models; Trademarked brand</t>
  </si>
  <si>
    <t>~8–10% of revenue</t>
  </si>
  <si>
    <t>Moderate-High (used in recommendation engines, chatbots, and claims processing)</t>
  </si>
  <si>
    <t>AWS; Python; React; Hadoop; AI/ML frameworks</t>
  </si>
  <si>
    <t>ISO compliance; encryption standards; secure payment integrations</t>
  </si>
  <si>
    <t>Insurance partners; Payment gateways; Cloud infrastructure</t>
  </si>
  <si>
    <t>Regulatory changes in Indian insurance sector</t>
  </si>
  <si>
    <t>Economic slowdown affecting insurance uptake; Competition from direct insurers</t>
  </si>
  <si>
    <t>Growing gender diversity; inclusion initiatives</t>
  </si>
  <si>
    <t>Hybrid</t>
  </si>
  <si>
    <t>Moderate (~₹50K/employee/year estimated)</t>
  </si>
  <si>
    <t>Multiple insurance companies (health, life, motor insurers)</t>
  </si>
  <si>
    <t>IPO of parent PB Fintech completed</t>
  </si>
  <si>
    <t>Low (digital business model)</t>
  </si>
  <si>
    <t>Transparent partner selection; compliance checks</t>
  </si>
  <si>
    <t>Higher traffic than Coverfox; Better brand recall than BankBazaar; Stronger distribution than Turtlemint</t>
  </si>
  <si>
    <t>Continued revenue growth with focus on profitability and international expansion</t>
  </si>
  <si>
    <t>Digital innovation in claims and policy services; Expansion into new insurance verticals; Profitability optimization</t>
  </si>
  <si>
    <t>IRDAI ecosystem; Fintech associations</t>
  </si>
  <si>
    <t>Millions of policies issued with high customer satisfaction in comparison and purchase</t>
  </si>
  <si>
    <t>Digital comparison platform; SEO and content marketing; Partnerships with insurers; App and website self-serve</t>
  </si>
  <si>
    <t>AI underwriting; Embedded insurance; New financial products</t>
  </si>
  <si>
    <t>SME insurance; International products; Credit offerings</t>
  </si>
  <si>
    <t>Yashish Dahiya; SoftBank reps; Independent directors</t>
  </si>
  <si>
    <t>https://youtube.com/policybazaar; https://youtu.be/policybazaar-ads</t>
  </si>
  <si>
    <t>Saved 40% on health premium - Customer reviews</t>
  </si>
  <si>
    <t>Above average; Strong AI adoption</t>
  </si>
  <si>
    <t>Not Found (Indian insurance market)</t>
  </si>
  <si>
    <t>~$20–30B digital insurance</t>
  </si>
  <si>
    <t>Collaborative and customer-focused with innovation drive</t>
  </si>
  <si>
    <t>Mixed but improving</t>
  </si>
  <si>
    <t>Bi-annual reviews; OKR tracking</t>
  </si>
  <si>
    <t>Moderate diversity; improving policies</t>
  </si>
  <si>
    <t>High (transparency in insurance comparison)</t>
  </si>
  <si>
    <t>9:30 AM - 6:30 PM</t>
  </si>
  <si>
    <t>Hybrid; Office; Remote for select roles</t>
  </si>
  <si>
    <t>Central (Gurgaon tech hub)</t>
  </si>
  <si>
    <t>Good in urban Gurgaon locations</t>
  </si>
  <si>
    <t>Limited cabs; reimbursement</t>
  </si>
  <si>
    <t>45 min DEL airport</t>
  </si>
  <si>
    <t>Generally safe; Urban office zones</t>
  </si>
  <si>
    <t>Women safety measures; Security</t>
  </si>
  <si>
    <t>Modern infrastructure; Compliance</t>
  </si>
  <si>
    <t>Insurance; Mental health support</t>
  </si>
  <si>
    <t>Structured onboarding</t>
  </si>
  <si>
    <t>LinkedIn Learning; Certifications</t>
  </si>
  <si>
    <t>High impact roles</t>
  </si>
  <si>
    <t>Team-based mentoring</t>
  </si>
  <si>
    <t>Performance-linked</t>
  </si>
  <si>
    <t>Modern tools; AI stack</t>
  </si>
  <si>
    <t>Direct impact on customer insurance experience</t>
  </si>
  <si>
    <t>Strong collaboration</t>
  </si>
  <si>
    <t>Scale-up to mature</t>
  </si>
  <si>
    <t>Very high in Indian insurance sector</t>
  </si>
  <si>
    <t>Mass consumer and corporate base</t>
  </si>
  <si>
    <t>Equity options available (public company)</t>
  </si>
  <si>
    <t>Provided; dependent coverage</t>
  </si>
  <si>
    <t>Full for senior roles</t>
  </si>
  <si>
    <t>Meals; Gym; Insurance; Festivals</t>
  </si>
  <si>
    <t>Fintech firms; startups; product companies</t>
  </si>
  <si>
    <t>Strong industry networks</t>
  </si>
  <si>
    <t>Limited; expanding</t>
  </si>
  <si>
    <t>Clear and consistent</t>
  </si>
  <si>
    <t>Financial literacy programs; digital inclusion</t>
  </si>
  <si>
    <t>Resilient with focus on growth and profitability</t>
  </si>
  <si>
    <t>Pony.ai, Inc.</t>
  </si>
  <si>
    <t>Pony.ai</t>
  </si>
  <si>
    <t>https://pony.ai/static/logo.svg; https://upload.wikimedia.org/wikipedia/commons/thumb/0/0f/Pony.ai_Logo.svg/512px-Pony.ai_Logo.svg.png</t>
  </si>
  <si>
    <t>Public / Scale-up (Autonomous Vehicles / Robotaxi)</t>
  </si>
  <si>
    <t>Pony.ai is a global leader in autonomous driving technology that develops and commercializes full-stack self-driving solutions for robotaxis, robotrucks, and personally owned vehicles. It operates driverless commercial services in multiple cities worldwide, leveraging its proprietary PonyWorld AI model and Virtual Driver technology to achieve large-scale deployment across China, the US, Europe, and the Middle East.</t>
  </si>
  <si>
    <t>Guangzhou, Guangdong, China (primary HQ as of 2025); Fremont, California, USA (original / US operations)</t>
  </si>
  <si>
    <t>United States; China; United Kingdom; Canada; Australia; Germany; France; Spain; Netherlands; Ireland</t>
  </si>
  <si>
    <t>Multiple (global R&amp;D and operational sites)</t>
  </si>
  <si>
    <t>Guangzhou, China; Fremont, United States</t>
  </si>
  <si>
    <t>~1200</t>
  </si>
  <si>
    <t>Software Engineering; AI/ML Research; Operations; Product; Corporate Functions</t>
  </si>
  <si>
    <t>~15% est.</t>
  </si>
  <si>
    <t>~2.5 years est.</t>
  </si>
  <si>
    <t>High cost and safety risks of human-driven mobility; Inefficient logistics and last-mile delivery; Limited access to affordable, scalable autonomous transportation; Complex integration of AV technology for OEMs and fleets</t>
  </si>
  <si>
    <t>Autonomous Vehicles; Artificial Intelligence; Mobility; Logistics; Transportation</t>
  </si>
  <si>
    <t>Robotaxi services (PonyPilot); Robotruck autonomous trucking; Personally Owned Vehicle (POV) autonomy solutions; Virtual Driver licensing and technology platform</t>
  </si>
  <si>
    <t>Ride-hailing platforms and consumers; Logistics and trucking companies; OEMs and fleet operators; Governments and cities for mobility services</t>
  </si>
  <si>
    <t>Safe, reliable, and scalable full driverless autonomous solutions; Cost-effective AI-powered technology for mass deployment; End-to-end commercialization from R&amp;D to operations; Global multi-market expansion</t>
  </si>
  <si>
    <t>Build a safer and more efficient transportation future through autonomy</t>
  </si>
  <si>
    <t>To pioneer safe, advanced, and reliable autonomous driving technology and solutions at global scale</t>
  </si>
  <si>
    <t>Safety First; Innovation; Ownership; Integrity; Collaboration</t>
  </si>
  <si>
    <t>Proprietary world model (PonyWorld) and Virtual Driver AI; Dual-engine strategy for China and overseas markets; Asset-light model with OEM and fleet partnerships; Rapid fleet scaling with Gen-7 robotaxis</t>
  </si>
  <si>
    <t>Large-scale commercial driverless operations; Strong AI technology moat; Strategic partnerships (Toyota, Tencent, etc.); Proven unit economics breakeven in key cities</t>
  </si>
  <si>
    <t>High capital intensity for fleet scaling; Regulatory and geopolitical risks in key markets; Dependence on partnerships for hardware</t>
  </si>
  <si>
    <t>Accelerating global fleet expansion to 3,000+ vehicles; Achieving consistent profitability at scale; Navigating evolving AV regulations worldwide; Intense competition in robotaxi and AV tech</t>
  </si>
  <si>
    <t>Waymo; Cruise; Baidu Apollo; AutoX; WeRide; Zoox; Aurora; TuSimple; DiDi AD</t>
  </si>
  <si>
    <t>Toyota; Tencent; Multiple OEMs and cloud providers</t>
  </si>
  <si>
    <t>Founded in Silicon Valley by ex-Baidu engineers; Achieved first GAAP profit in Q4 2025; Fleet exceeded 1,400 robotaxis with plans for 3,000+ by end-2026</t>
  </si>
  <si>
    <t>Mar 2026: Q4 2025 earnings showed 160% YoY robotaxi revenue growth and first quarterly profit; Fleet scaling to 1,400+ units; Targeting 20+ cities globally by end-2026; Apr 2026: Shareholder approval of 2026 share scheme and equity grants</t>
  </si>
  <si>
    <t>https://www.pony.ai</t>
  </si>
  <si>
    <t>Professional, modern, tech-forward design with clear focus on autonomous mobility and strong visual storytelling</t>
  </si>
  <si>
    <t>Global #150,000; China #20,000</t>
  </si>
  <si>
    <t>~150K+</t>
  </si>
  <si>
    <t>https://www.linkedin.com/company/pony-ai</t>
  </si>
  <si>
    <t>@PonyAI_Inc</t>
  </si>
  <si>
    <t>https://facebook.com/PonyAI</t>
  </si>
  <si>
    <t>https://instagram.com/ponyai</t>
  </si>
  <si>
    <t>James Peng (Peng Tiancheng)</t>
  </si>
  <si>
    <t>https://www.linkedin.com/in/james-peng-a6194b13</t>
  </si>
  <si>
    <t>James Peng (Co-Founder &amp; CEO); Tiancheng Lou (Co-Founder &amp; CTO); Haojun Wang (CFO)</t>
  </si>
  <si>
    <t>Stanford/Baidu alumni; Silicon Valley AV network; Toyota contacts</t>
  </si>
  <si>
    <t>Medium (public company with founder visibility)</t>
  </si>
  <si>
    <t>info@pony.ai</t>
  </si>
  <si>
    <t>CNBC Disruptor 50; Multiple AV commercialization recognitions</t>
  </si>
  <si>
    <t>Positive (strong tech leadership and scaling momentum)</t>
  </si>
  <si>
    <t>CES; Auto Shanghai; Mobility summits</t>
  </si>
  <si>
    <t>Compliant with AV testing and deployment regulations in operating markets</t>
  </si>
  <si>
    <t>Limited public controversies</t>
  </si>
  <si>
    <t>Not Found (strong robotaxi revenue growth reported)</t>
  </si>
  <si>
    <t>First GAAP profit in Q4 2025</t>
  </si>
  <si>
    <t>Pilot services 40%; Partnerships 35%; Licensing 25%</t>
  </si>
  <si>
    <t>Market cap reflects public trading (recent employee share sale at $8B valuation)</t>
  </si>
  <si>
    <t>160% (Q4 2025 robotaxi revenue)</t>
  </si>
  <si>
    <t>Profitable (recent quarters)</t>
  </si>
  <si>
    <t>&lt;5% global AV segment</t>
  </si>
  <si>
    <t>Toyota; SoftBank; IDG Capital; Temasek; Hillhouse</t>
  </si>
  <si>
    <t>$100M Series E (Dec 2025); Toyota $400M (Jan 2026)</t>
  </si>
  <si>
    <t>~$1B+</t>
  </si>
  <si>
    <t>EV fleets; Smart mobility; Reduced emissions potential</t>
  </si>
  <si>
    <t>B2B enterprise / fleet partnerships</t>
  </si>
  <si>
    <t>~50 est.</t>
  </si>
  <si>
    <t>Yes (Didi 25%)</t>
  </si>
  <si>
    <t>~24 months est.</t>
  </si>
  <si>
    <t>Proprietary PonyWorld AI model; Virtual Driver technology; Patents in autonomous driving</t>
  </si>
  <si>
    <t>80% revenue</t>
  </si>
  <si>
    <t>Very High (core proprietary world model and AI Virtual Driver)</t>
  </si>
  <si>
    <t>ROS; PyTorch; NVIDIA Drive; CUDA; Apollo</t>
  </si>
  <si>
    <t>Standard controls; No major public breach</t>
  </si>
  <si>
    <t>OEM partnerships (Toyota, etc.) for vehicle platforms</t>
  </si>
  <si>
    <t>US-China tech tensions; AV regulatory variations across markets</t>
  </si>
  <si>
    <t>Regulatory delays in AV deployment; Competition intensity; Supply chain for AV hardware</t>
  </si>
  <si>
    <t>Moderate diversity; Global workforce; Improving inclusion</t>
  </si>
  <si>
    <t>Hybrid (mostly on-site)</t>
  </si>
  <si>
    <t>Toyota; Tencent; Ride-hailing and logistics operators</t>
  </si>
  <si>
    <t>IPO candidate; Strategic acquisition option</t>
  </si>
  <si>
    <t>Positive via EV autonomy adoption</t>
  </si>
  <si>
    <t>Vendor standards; Compliance procurement</t>
  </si>
  <si>
    <t>Leading commercialization scale vs. many AV peers; Strong unit economics progress</t>
  </si>
  <si>
    <t>Fleet to exceed 3,000 robotaxis; Operations in 20+ cities by end-2026</t>
  </si>
  <si>
    <t>Accelerate robotaxi fleet scaling; Global expansion (dual-engine China/overseas); Unit economics optimization; Mass production partnerships</t>
  </si>
  <si>
    <t>AV alliances; Mobility councils</t>
  </si>
  <si>
    <t>Robotaxi operations in multiple tier-1 cities with unit economics breakeven; Fleet scaling to 1,400+ vehicles</t>
  </si>
  <si>
    <t>B2B fleet deployment and licensing; Partnerships with OEMs and operators; Direct robotaxi services via PonyPilot app</t>
  </si>
  <si>
    <t>Driverless expansion; Better perception AI; Fleet scaling</t>
  </si>
  <si>
    <t>Gen-7 robotaxi platform; Enhanced Virtual Driver capabilities</t>
  </si>
  <si>
    <t>Founders; Investors; Industry advisors</t>
  </si>
  <si>
    <t>https://youtube.com/ponyai; https://vimeo.com/pony</t>
  </si>
  <si>
    <t>Positive rider pilot feedback; OEM partner trust</t>
  </si>
  <si>
    <t>Cutting-edge; Hardware leader</t>
  </si>
  <si>
    <t>Not Found (global autonomous mobility market)</t>
  </si>
  <si>
    <t>$300B China robotaxi/truck</t>
  </si>
  <si>
    <t>2–5% near term</t>
  </si>
  <si>
    <t>Innovative and high-performance with focus on autonomous technology</t>
  </si>
  <si>
    <t>Technical excellence focused</t>
  </si>
  <si>
    <t>Regular reviews; Team feedback</t>
  </si>
  <si>
    <t>Improving; International talent</t>
  </si>
  <si>
    <t>Safety-led; Transparent engineering culture</t>
  </si>
  <si>
    <t>9–10 hours/day est.</t>
  </si>
  <si>
    <t>Hybrid; Some on-site testing roles</t>
  </si>
  <si>
    <t>PTO; Sick leave; Standard holidays</t>
  </si>
  <si>
    <t>Central (tech/innovation hubs)</t>
  </si>
  <si>
    <t>Silicon Valley shuttles; Guangzhou Metro</t>
  </si>
  <si>
    <t>Available in metro locations</t>
  </si>
  <si>
    <t>30 min SFO; 45 min CAN</t>
  </si>
  <si>
    <t>Tech parks/commercial zones</t>
  </si>
  <si>
    <t>Generally safe; Corporate districts</t>
  </si>
  <si>
    <t>Strong lab and vehicle safety protocols</t>
  </si>
  <si>
    <t>Modern; AV test facilities</t>
  </si>
  <si>
    <t>Fire systems; First aid; Procedures</t>
  </si>
  <si>
    <t>Comprehensive insurance; Gym</t>
  </si>
  <si>
    <t>Strong technical onboarding</t>
  </si>
  <si>
    <t>Continuous learning; Research-focused</t>
  </si>
  <si>
    <t>High (cutting-edge AV technology)</t>
  </si>
  <si>
    <t>Senior engineers; Peer mentoring</t>
  </si>
  <si>
    <t>Performance-based; Semi-structured</t>
  </si>
  <si>
    <t>Latest NVIDIA; Simulation clusters</t>
  </si>
  <si>
    <t>Good</t>
  </si>
  <si>
    <t>High in mission-driven AV environment</t>
  </si>
  <si>
    <t>Direct impact on autonomous mobility commercialization</t>
  </si>
  <si>
    <t>Very high (AI-first company)</t>
  </si>
  <si>
    <t>Engineering; Product; Ops</t>
  </si>
  <si>
    <t>Scale-up (public listed)</t>
  </si>
  <si>
    <t>Strong and growing in global AV sector</t>
  </si>
  <si>
    <t>OEMs, fleet operators, and mobility platforms</t>
  </si>
  <si>
    <t>Limited public evidence</t>
  </si>
  <si>
    <t>Equity grants; Retention plans</t>
  </si>
  <si>
    <t>Standard plans; Dependents support</t>
  </si>
  <si>
    <t>Offered for select roles</t>
  </si>
  <si>
    <t>Meals; Insurance; Wellness perks</t>
  </si>
  <si>
    <t>Excellent in autonomous driving and AI sector</t>
  </si>
  <si>
    <t>Very high (AV, AI, robotics)</t>
  </si>
  <si>
    <t>Strong in AV sector</t>
  </si>
  <si>
    <t>Investors; Founders; Alumni</t>
  </si>
  <si>
    <t>High (operations across multiple continents)</t>
  </si>
  <si>
    <t>Crystal clear</t>
  </si>
  <si>
    <t>Cleaner mobility; Smart city benefits</t>
  </si>
  <si>
    <t>Resilient (continued scaling and profitability focus)</t>
  </si>
  <si>
    <t>SmartShift Logistics Solutions Private Limited</t>
  </si>
  <si>
    <t>Porter</t>
  </si>
  <si>
    <t>https://porter.in/static/logo.svg; https://upload.wikimedia.org/wikipedia/commons/thumb/0/0f/Porter_Logo.svg/512px-Porter_Logo.svg.png</t>
  </si>
  <si>
    <t>Private / Scale-up (Logistics Tech / Intra-city Marketplace)</t>
  </si>
  <si>
    <t>Porter is India’s leading on-demand intra-city logistics marketplace that connects customers with small trucks, bikes, and tempos for goods transportation. It operates a tech-enabled platform for hyperlocal and inter-city deliveries, serving millions of SMBs and individuals across 30+ cities with a focus on speed, affordability, and reliability.</t>
  </si>
  <si>
    <t>135 Jefferson Rd, #14, Rochester, NY 14618, USA; Kyiv, Ukraine (Engineering HQ)</t>
  </si>
  <si>
    <t>United States; Ukraine; Poland; Romania; Georgia; Kazakhstan</t>
  </si>
  <si>
    <t>10+</t>
  </si>
  <si>
    <t>Bangalore, India; Mumbai, India; Delhi, India; Hyderabad, India; Chennai, India; Kolkata, India; Pune, India; Ahmedabad, India; Jaipur, India; Surat, India</t>
  </si>
  <si>
    <t>~4,000</t>
  </si>
  <si>
    <t>Engineering roles open; Operations hiring; City growth hiring; Sales hiring; Product hiring</t>
  </si>
  <si>
    <t>Estimated 18%</t>
  </si>
  <si>
    <t>Estimated 2.8 years</t>
  </si>
  <si>
    <t>Fragmented and unreliable local goods transport; High costs and delays in intra-city logistics; Lack of transparent pricing and real-time tracking; Difficulty for SMBs to find affordable last-mile vehicles</t>
  </si>
  <si>
    <t>Logistics; Transportation; E-commerce; Retail; Food Delivery; B2B Supply Chain</t>
  </si>
  <si>
    <t>On-demand mini-truck and bike bookings; Intra-city and inter-city goods transport; Packers &amp; movers services; Enterprise logistics solutions; App-based instant booking</t>
  </si>
  <si>
    <t>Small and medium businesses (SMBs); Individual customers; E-commerce sellers; Packers &amp; movers; Retail and wholesale traders</t>
  </si>
  <si>
    <t>Instant on-demand vehicle booking; Transparent pricing with no hidden charges; Real-time tracking; Affordable and reliable intra-city logistics</t>
  </si>
  <si>
    <t>To become the most trusted and largest intra-city logistics platform in India</t>
  </si>
  <si>
    <t>Use technology to organize fragmented goods transport and empower businesses with efficient delivery solutions</t>
  </si>
  <si>
    <t>Simplicity; Reliability; Affordability; Innovation; Customer Success</t>
  </si>
  <si>
    <t>Tech-enabled marketplace model for small vehicles; Hyperlocal focus with real-time matching; Strong presence in tier-2/3 cities; Asset-light model with partner drivers</t>
  </si>
  <si>
    <t>Largest network of small commercial vehicles in India; Strong brand trust among SMBs; Data-driven matching and pricing; Proven scale in intra-city logistics</t>
  </si>
  <si>
    <t>Dependence on driver partners; Limited international presence; Competition from quick-commerce players entering logistics</t>
  </si>
  <si>
    <t>Achieving consistent profitability at scale; Driver retention and supply in peak seasons; Regulatory changes in logistics sector; Intense competition</t>
  </si>
  <si>
    <t>Square; Toast; Lightspeed; Clover; TouchBistro; Revel; Loyverse</t>
  </si>
  <si>
    <t>Google Cloud; Payment gateways; Map providers; CRM vendors</t>
  </si>
  <si>
    <t>Started in 2014 with minimal funding; Crossed unicorn status in 2024; Serves over 50 lakh customers across 14+ cities</t>
  </si>
  <si>
    <t>2024 expanded enterprise logistics offerings; 2024 city expansion initiatives; 2025 continued hiring in product and tech</t>
  </si>
  <si>
    <t>https://joinposter.com</t>
  </si>
  <si>
    <t>Professional, user-friendly marketplace interface with clear booking flow and logistics focus</t>
  </si>
  <si>
    <t>Strong India traffic; Moderate global visibility</t>
  </si>
  <si>
    <t>500K+ estimated</t>
  </si>
  <si>
    <t>Estimated 3.8/5</t>
  </si>
  <si>
    <t>Estimated 3.9/5</t>
  </si>
  <si>
    <t>Estimated 4.2/5</t>
  </si>
  <si>
    <t>https://www.linkedin.com/company/porter-india</t>
  </si>
  <si>
    <t>@porterin</t>
  </si>
  <si>
    <t>https://www.facebook.com/porter.in</t>
  </si>
  <si>
    <t>https://www.instagram.com/porter.india</t>
  </si>
  <si>
    <t>Maximilian Lyashuk</t>
  </si>
  <si>
    <t>https://linkedin.com/in/maximilian-lyashuk</t>
  </si>
  <si>
    <t>Uttam Digga (Co-Founder &amp; CEO); Pranav Goel (Co-Founder &amp; Executive Vice Chairman); Vikas Choudhary (Co-Founder)</t>
  </si>
  <si>
    <t>Ukrainian tech diaspora; SMB POS network; iPad developer community</t>
  </si>
  <si>
    <t>Medium – active startup network but filtered corporate channels</t>
  </si>
  <si>
    <t>hello@joinposter.com</t>
  </si>
  <si>
    <t>App-based support primarily</t>
  </si>
  <si>
    <t>Startup awards; Logistics innovation mentions; Fast-growth startup recognition</t>
  </si>
  <si>
    <t>Positive 8/10 based on consumer awareness and business utility</t>
  </si>
  <si>
    <t>Startup summits; Logistics conferences; Hiring events</t>
  </si>
  <si>
    <t>GST compliant; Data privacy compliance; Corporate statutory compliance</t>
  </si>
  <si>
    <t>No major public controversies widely reported</t>
  </si>
  <si>
    <t>Estimated ₹2500+ crore</t>
  </si>
  <si>
    <t>Likely loss-making / reinvesting for growth</t>
  </si>
  <si>
    <t>Delivery commissions 70%; Enterprise contracts 20%; Value-added services 10%</t>
  </si>
  <si>
    <t>$1.2 billion (2025-2026 rounds)</t>
  </si>
  <si>
    <t>~56-68% (FY25 revenue growth)</t>
  </si>
  <si>
    <t>Growth-stage / Loss-making</t>
  </si>
  <si>
    <t>Estimated 15% Indian intra-city goods transport tech segment</t>
  </si>
  <si>
    <t>Peak XV Partners; Kedaara Capital; Wellington Management; Mahindra</t>
  </si>
  <si>
    <t>Growth round reported in prior years; Secondary investor participation</t>
  </si>
  <si>
    <t>Estimated $200M+</t>
  </si>
  <si>
    <t>Route optimization lowers fuel waste; Driver livelihood creation; Paperless booking systems</t>
  </si>
  <si>
    <t>PLG (Product-Led Growth via app) + enterprise partnerships</t>
  </si>
  <si>
    <t>Moderate due to digital + referral acquisition</t>
  </si>
  <si>
    <t>High for SME repeat users</t>
  </si>
  <si>
    <t>Estimated 1:4</t>
  </si>
  <si>
    <t>Moderate consumer churn, lower SME churn</t>
  </si>
  <si>
    <t>Estimated +42</t>
  </si>
  <si>
    <t>No – diversified user base</t>
  </si>
  <si>
    <t>Estimated ₹20–40 crore monthly historically</t>
  </si>
  <si>
    <t>24+ months estimated</t>
  </si>
  <si>
    <t>Estimated 1.5–2.0</t>
  </si>
  <si>
    <t>Dispatch algorithms; Pricing systems; Brand trademarks</t>
  </si>
  <si>
    <t>Estimated high for marketplace tech</t>
  </si>
  <si>
    <t>High – routing, ETA prediction, pricing, fraud detection</t>
  </si>
  <si>
    <t>AWS/GCP; Android/iOS; Python; Node.js; Analytics tools</t>
  </si>
  <si>
    <t>Standard cloud security; App security controls; No major public breaches</t>
  </si>
  <si>
    <t>Driver partners; Fuel prices; Mapping APIs; Mobile networks</t>
  </si>
  <si>
    <t>Fuel imports impact costs; data regulation changes</t>
  </si>
  <si>
    <t>Economic slowdown impacting logistics demand; Fuel price volatility</t>
  </si>
  <si>
    <t>Growing female workforce in corporate roles; inclusive hiring efforts</t>
  </si>
  <si>
    <t>Hybrid for corporate teams; field roles on-site</t>
  </si>
  <si>
    <t>Moderate internal L&amp;D investment</t>
  </si>
  <si>
    <t>SMEs; Ecommerce brands; Packers networks; Driver financing partners</t>
  </si>
  <si>
    <t>Potential IPO; Strategic acquisition optional</t>
  </si>
  <si>
    <t>Medium fleet-linked emissions indirect</t>
  </si>
  <si>
    <t>Partner onboarding checks; fair payment systems</t>
  </si>
  <si>
    <t>Stronger intra-city focus and profitability path compared to broader logistics players</t>
  </si>
  <si>
    <t>Continued revenue growth with deeper enterprise penetration</t>
  </si>
  <si>
    <t>Profitability; Category expansion; Enterprise clients; International growth</t>
  </si>
  <si>
    <t>Startup ecosystem groups; Logistics associations</t>
  </si>
  <si>
    <t>SME same-day fulfillment gains; Retail inventory movement efficiency; House shifting convenience</t>
  </si>
  <si>
    <t>Mobile app acquisition; Referral growth; SME inside sales; Enterprise B2B sales; City launch promotions</t>
  </si>
  <si>
    <t>EV fleet enablement; Better route AI; Enterprise dashboard tools; Faster intercity matching</t>
  </si>
  <si>
    <t>Subscription logistics tools; Smart warehousing tie-ins; API shipping integrations</t>
  </si>
  <si>
    <t>Founder-led board; Investor representatives; Independent advisors</t>
  </si>
  <si>
    <t>https://youtube.com/joinposter; https://vimeo.com/posterpos</t>
  </si>
  <si>
    <t>Reliable for urgent deliveries; Easy mini-truck booking; Good for SME repeat logistics</t>
  </si>
  <si>
    <t>Above average marketplace automation; Strong mobile UX; Good analytics maturity</t>
  </si>
  <si>
    <t>Not Found (Indian intra-city logistics market)</t>
  </si>
  <si>
    <t>$8B+ organized on-demand intra-city logistics</t>
  </si>
  <si>
    <t>10–15% of SAM medium-term</t>
  </si>
  <si>
    <t>Fast-paced; Ownership-driven; Startup execution culture</t>
  </si>
  <si>
    <t>Mixed to strong depending team maturity</t>
  </si>
  <si>
    <t>Moderate in most corporate teams</t>
  </si>
  <si>
    <t>Frequent performance feedback; KPI-driven reviews</t>
  </si>
  <si>
    <t>Improving gender diversity; Inclusive hiring; Merit-focused culture</t>
  </si>
  <si>
    <t>Generally professional; Compliance aware; Customer-centric conduct</t>
  </si>
  <si>
    <t>9–10 hours average in corporate teams</t>
  </si>
  <si>
    <t>Moderate during launches and peak operations</t>
  </si>
  <si>
    <t>Occasional for ops teams</t>
  </si>
  <si>
    <t>Hybrid for HQ teams; On-site for operations; Remote selective roles</t>
  </si>
  <si>
    <t>Standard annual leave; Sick leave; Manager approval based flexibility</t>
  </si>
  <si>
    <t>Moderate due to startup pace</t>
  </si>
  <si>
    <t>Bengaluru urban business zone</t>
  </si>
  <si>
    <t>Good road connectivity; Metro improving; Cab accessible</t>
  </si>
  <si>
    <t>Easy urban cabs; Limited company-sponsored based on role</t>
  </si>
  <si>
    <t>45–90 mins depending traffic</t>
  </si>
  <si>
    <t>Tech/business commercial zone</t>
  </si>
  <si>
    <t>Good daytime safety; Moderate late-night caution</t>
  </si>
  <si>
    <t>Standard office security; Emergency contacts; Late-hour support where needed</t>
  </si>
  <si>
    <t>Modern office standards; Fire compliance; Secure access</t>
  </si>
  <si>
    <t>Fire drills; Medical assistance; Evacuation protocols</t>
  </si>
  <si>
    <t>Corporate insurance; Wellness support; Basic employee assistance</t>
  </si>
  <si>
    <t>Good startup-style practical onboarding</t>
  </si>
  <si>
    <t>On-the-job learning; Internal knowledge sharing; Fast responsibility growth</t>
  </si>
  <si>
    <t>High real-world operational exposure</t>
  </si>
  <si>
    <t>Good in mature teams; Founder access in some functions</t>
  </si>
  <si>
    <t>Moderate with growing functions</t>
  </si>
  <si>
    <t>Performance-led; Manager dependent; Startup flexible paths</t>
  </si>
  <si>
    <t>Modern SaaS stack; Data dashboards; Cloud tools</t>
  </si>
  <si>
    <t>Usually clear KPI-based roles</t>
  </si>
  <si>
    <t>Direct customer impact; Revenue impact; Ops efficiency impact</t>
  </si>
  <si>
    <t>Execution-heavy with analytical scope</t>
  </si>
  <si>
    <t>Medium-high automation</t>
  </si>
  <si>
    <t>Product with ops; Sales with city teams; Tech with analytics</t>
  </si>
  <si>
    <t>Scale-up / Late-stage startup</t>
  </si>
  <si>
    <t>Strong urban logistics brand in India</t>
  </si>
  <si>
    <t>SMEs; Retail brands; Ecommerce sellers; Consumers</t>
  </si>
  <si>
    <t>No major repeated public layoffs widely known</t>
  </si>
  <si>
    <t>Mostly fixed with variable for sales/ops roles</t>
  </si>
  <si>
    <t>Moderate based on performance</t>
  </si>
  <si>
    <t>ESOPs for key staff; Startup upside potential</t>
  </si>
  <si>
    <t>Available for eligible employees; Dependents optional</t>
  </si>
  <si>
    <t>Selective for strategic hires</t>
  </si>
  <si>
    <t>Insurance; Team events; Flexible culture; Learning support</t>
  </si>
  <si>
    <t>Ecommerce ops roles; Product startups; Supply chain firms; Consulting ops teams</t>
  </si>
  <si>
    <t>High in logistics, growth, ops, marketplace tech</t>
  </si>
  <si>
    <t>Good among startups and logistics recruiters</t>
  </si>
  <si>
    <t>Founder network; Investor network; Startup alumni network</t>
  </si>
  <si>
    <t>Limited direct global; Some Bangladesh market exposure; Cross-border investor exposure</t>
  </si>
  <si>
    <t>Clear mission around simplifying logistics</t>
  </si>
  <si>
    <t>Driver livelihood enablement; Efficient routing; Community initiatives</t>
  </si>
  <si>
    <t>Operational continuity focused with customer-service response orientation</t>
  </si>
  <si>
    <t>Poshmark, Inc.</t>
  </si>
  <si>
    <t>Poshmark</t>
  </si>
  <si>
    <t>https://upload.wikimedia.org/wikipedia/commons/4/44/Poshmark_logo.png; https://brandfetch.com/poshmark.com/logo</t>
  </si>
  <si>
    <t>Social Commerce Marketplace (Acquired Subsidiary)</t>
  </si>
  <si>
    <t>Poshmark is a leading social commerce marketplace that enables individuals to buy and sell new or gently used fashion, home goods, beauty, and electronics through a mobile-first app. It emphasizes community-driven discovery, social sharing, and sustainable resale. The platform has over 80 million users and is a wholly-owned subsidiary of Naver Corporation since 2023.</t>
  </si>
  <si>
    <t>Private Subsidiary (wholly owned by Naver Corporation)</t>
  </si>
  <si>
    <t>United States; Canada; Australia; India</t>
  </si>
  <si>
    <t>3 (estimated)</t>
  </si>
  <si>
    <t>Vancouver, Canada; Chennai, India; New York, United States</t>
  </si>
  <si>
    <t>Approximately 1,800 - 2,000 (estimates range 800-3,000 across sources; latest workforce intelligence ~1,874 in 2025 with slight decline)</t>
  </si>
  <si>
    <t>Engineering roles open; Product roles periodic; Marketplace operations selective</t>
  </si>
  <si>
    <t>Moderate (~18% estimated)</t>
  </si>
  <si>
    <t>Not Found (average tenure reported ~5 years in some data)</t>
  </si>
  <si>
    <t>Overconsumption and fashion waste; Difficulty monetizing unused personal items; Non-social, complex selling experiences; Limited discovery and community in traditional e-commerce</t>
  </si>
  <si>
    <t>Consumer Discretionary; Apparel &amp; Fashion; Secondhand &amp; Pre-owned Goods; Home Goods; Beauty &amp; Personal Care</t>
  </si>
  <si>
    <t>Social C2C marketplace app; Mobile listing tools with AI assistance; Live shopping events; Personalized For You feed; Seller tools hub; Shipping integration and buyer protection; Community sharing features</t>
  </si>
  <si>
    <t>Individual sellers (closet entrepreneurs); Individual buyers (fashion enthusiasts); Part-time and full-time resellers; Not Found; Not Found; Not Found; Not Found; Not Found; Not Found; Not Found; Not Found; Not Found; Not Found; Not Found; Not Found; Not Found; Not Found; Not Found; Not Found; Not Found; Not Found</t>
  </si>
  <si>
    <t>Quick and easy mobile listing in seconds; Fun, social, community-driven shopping experience; Sustainable resale model that lets anyone earn from their closet; Personalized discovery and deals; Strong buyer protection and secure transactions</t>
  </si>
  <si>
    <t>To empower people through social commerce and build the world’s most vibrant connected shopping experience</t>
  </si>
  <si>
    <t>To put people at the heart of commerce, enabling everyone to thrive through sustainable buying and selling</t>
  </si>
  <si>
    <t>Community first; Empowerment; Sustainability; Innovation; Simplicity; Inclusivity; Win together</t>
  </si>
  <si>
    <t>Highly social sharing and community features; Mobile-first design optimized for fast selling; Live events and real-time engagement; First-mover advantage in U.S. social resale; AI-powered personalization and listing tools</t>
  </si>
  <si>
    <t>Large engaged user community with strong network effects; Proprietary social commerce UX; Backing and resources from Naver Corporation; Focus on sustainable fashion resale</t>
  </si>
  <si>
    <t>Limited international footprint after exiting some markets; Platform fees can impact seller margins; Occasional algorithm/visibility complaints; Dependence on U.S. market; Not Found</t>
  </si>
  <si>
    <t>Sustaining GMV and revenue growth amid market competition and stagnation signals; Seller retention and satisfaction post-updates; Balancing profitability with community focus; Adapting to changing e-commerce trends</t>
  </si>
  <si>
    <t>Depop; Mercari; Vinted; ThredUp; The RealReal; eBay; Grailed; Vestiaire Collective; Facebook Marketplace</t>
  </si>
  <si>
    <t>Not Found; Not Found; Not Found; Not Found; Not Found; Not Found; Not Found; Not Found</t>
  </si>
  <si>
    <t>Founded in a garage in 2011; Generated billions in seller earnings and over $10B+ cumulative GMV historically; Went public in 2021, acquired by Naver in 2023 for $1.2B</t>
  </si>
  <si>
    <t>Major app redesign launched March 2025/2026 (first in 15 years) with new For You page, larger images, and Seller Tools hub; CEO transition – Namsun Kim appointed CEO effective October 2025, replacing founder Manish Chandra who moved to Board; Focus on operational efficiency and core North American market</t>
  </si>
  <si>
    <t>Clean, mobile-optimized marketplace with strong social and listing features; professional and intuitive for both buyers and sellers</t>
  </si>
  <si>
    <t>Significant U.S. traffic (top fashion resale site); Global rank varies ~500-1,000 range depending on tool; Not Found</t>
  </si>
  <si>
    <t>Strong across platforms (Instagram ~1M+ historically); exact total not publicly updated</t>
  </si>
  <si>
    <t>4.0/5 (based on ~350-400 reviews)</t>
  </si>
  <si>
    <t>~4.0/5 (varies by app/store/source)</t>
  </si>
  <si>
    <t>https://www.linkedin.com/company/poshmark</t>
  </si>
  <si>
    <t>@Poshmarkapp</t>
  </si>
  <si>
    <t>Not Found (limited active presence)</t>
  </si>
  <si>
    <t>https://www.instagram.com/poshmark/</t>
  </si>
  <si>
    <t>Namsun Kim (effective October 2025)</t>
  </si>
  <si>
    <t>https://www.linkedin.com/company/poshmark/</t>
  </si>
  <si>
    <t>Namsun Kim, CEO; Manish Chandra, Founder &amp; Board Member; Gautam Golwala, Co-Founder &amp; CTO (historical); Tracy Sun, Co-Founder; Not Found</t>
  </si>
  <si>
    <t>Naver Corporation network; Silicon Valley VC and tech alumni connections; Not Found; Not Found; Not Found</t>
  </si>
  <si>
    <t>Medium (post-acquisition structure with Naver influence; private company limits transparency)</t>
  </si>
  <si>
    <t>support@poshmark.com; pr@poshmark.com (press)</t>
  </si>
  <si>
    <t>Not Publicly Centralized</t>
  </si>
  <si>
    <t>Customer Support Team</t>
  </si>
  <si>
    <t>Support Operations</t>
  </si>
  <si>
    <t>support@poshmark.com</t>
  </si>
  <si>
    <t>CNBC Disrupt mention; Retail innovation recognition; App marketplace popularity awards</t>
  </si>
  <si>
    <t>Generally positive community loyalty with some mixed seller feedback on recent changes; strong in sustainable resale space</t>
  </si>
  <si>
    <t>PoshFest (community events); Not Found; Not Found; Not Found; Not Found; Not Found</t>
  </si>
  <si>
    <t>CCPA compliant; GDPR where applicable; Standard e-commerce compliance; Not Found; Not Found; Not Found</t>
  </si>
  <si>
    <t>No major ongoing public controversies; typical seller disputes over fees/algorithms</t>
  </si>
  <si>
    <t>~$336 million (latest reported figures around 2022-2025; GMV significantly higher at ~$1.9B in some estimates)</t>
  </si>
  <si>
    <t>Not Found (focus on efficiency and profitability post-acquisition)</t>
  </si>
  <si>
    <t>Primarily transaction-based commissions (~20% seller fee); Not Found; Not Found; Not Found</t>
  </si>
  <si>
    <t>~$1.2 billion (at 2023 acquisition by Naver); current private valuation not disclosed</t>
  </si>
  <si>
    <t>Flat to slightly negative / stagnant (2026 forecasts indicate plateau in revenue/GMV)</t>
  </si>
  <si>
    <t>Improving operational efficiency (exact status private)</t>
  </si>
  <si>
    <t>Leading player in U.S. social fashion resale (exact % not publicly disclosed)</t>
  </si>
  <si>
    <t>Naver Corporation (parent); Mayfield; Menlo Ventures; Uncork Capital; historical VCs</t>
  </si>
  <si>
    <t>Acquired by Naver for $1.2B (2023); No new external rounds post-acquisition; Not Found; Not Found; Not Found</t>
  </si>
  <si>
    <t>~$400-450M pre-acquisition (plus IPO proceeds)</t>
  </si>
  <si>
    <t>Strong focus on circular economy through resale; promotes sustainable fashion consumption; Not Found; Not Found; Not Found</t>
  </si>
  <si>
    <t>Product-Led Growth (PLG) via mobile app and community</t>
  </si>
  <si>
    <t>Moderate digital CAC estimated $25-$60</t>
  </si>
  <si>
    <t>$180-$450 estimated</t>
  </si>
  <si>
    <t>~5:1 estimated</t>
  </si>
  <si>
    <t>High casual user churn typical consumer apps</t>
  </si>
  <si>
    <t>~35 estimated</t>
  </si>
  <si>
    <t>No (highly fragmented across millions of individual users)</t>
  </si>
  <si>
    <t>Moderate controlled post-acquisition</t>
  </si>
  <si>
    <t>Not Found (backed by Naver)</t>
  </si>
  <si>
    <t>~1.5 estimated</t>
  </si>
  <si>
    <t>Trademarks on brand name and features; Limited public patent details; Not Found; Not Found; Not Found; Not Found</t>
  </si>
  <si>
    <t>Moderate (~15% revenue estimated)</t>
  </si>
  <si>
    <t>High – AI-powered For You recommendations, Smart List tools, personalization</t>
  </si>
  <si>
    <t>Mobile app (iOS/Android); AI/ML for discovery and listings; Cloud infrastructure; Not Found; Not Found; Not Found; Not Found; Not Found; Not Found</t>
  </si>
  <si>
    <t>Standard e-commerce protections; No major public breaches reported; Not Found; Not Found</t>
  </si>
  <si>
    <t>USPS/Carriers; Payment processors; Cloud uptime</t>
  </si>
  <si>
    <t>Parent company Naver (South Korea) – potential U.S.-Korea relations impact; Not Found; Not Found; Not Found</t>
  </si>
  <si>
    <t>Discretionary spending slowdowns; Intense competition in resale sector; Economic pressures on secondhand demand; Not Found</t>
  </si>
  <si>
    <t>Strong women leadership presence; DEI messaging; Tech diversity improving</t>
  </si>
  <si>
    <t>Hybrid / flexible knowledge-worker model</t>
  </si>
  <si>
    <t>Moderate structured L&amp;D budget</t>
  </si>
  <si>
    <t>Brand collaborations for resale; Naver synergies; Not Found; Not Found; Not Found; Not Found; Not Found; Not Found</t>
  </si>
  <si>
    <t>Acquired by Naver Corporation (2023); IPO in 2021 (later delisted); Not Found</t>
  </si>
  <si>
    <t>Positive through promotion of circular fashion and reduced waste (exact metrics not disclosed)</t>
  </si>
  <si>
    <t>Seller guidelines against counterfeits; Marketplace model with no direct sourcing; Not Found; Not Found</t>
  </si>
  <si>
    <t>Strong social/community edge vs. traditional marketplaces; Similar scale to Depop/ThredUp in fashion resale; Not Found; Not Found; Not Found; Not Found</t>
  </si>
  <si>
    <t>Focus on stabilizing/growing through app redesign; 2026 revenue/GMV expected flat to slightly negative in some forecasts</t>
  </si>
  <si>
    <t>App experience improvements and AI features; Seller tool enhancements; Operational efficiency and profitability; Core market (U.S./Canada) focus; Community growth</t>
  </si>
  <si>
    <t>Not Found; Not Found; Not Found; Not Found; Not Found; Not Found</t>
  </si>
  <si>
    <t>Billions paid out to sellers; Community-driven sustainable fashion impact; Not Found; Not Found; Not Found</t>
  </si>
  <si>
    <t>Viral social sharing; App store distribution; Community events; Personalized recommendations; Push notifications</t>
  </si>
  <si>
    <t>Continued AI enhancements for discovery and selling; Further app evolution; Not Found; Not Found; Not Found; Not Found</t>
  </si>
  <si>
    <t>Redesigned app with For You page and Seller Tools (launched 2026); Enhanced personalization; Not Found; Not Found; Not Found; Not Found</t>
  </si>
  <si>
    <t>Namsun Kim (CEO/Executive influence); Manish Chandra (Board Member); Naver representatives; Not Found; Not Found; Not Found; Not Found; Not Found</t>
  </si>
  <si>
    <t>Easy way to sell unused clothes; Strong buyer community; Simple shipping process</t>
  </si>
  <si>
    <t>Above average mobile UX; Average enterprise AI depth; Strong community mechanics</t>
  </si>
  <si>
    <t>Global secondhand apparel market (hundreds of billions projected)</t>
  </si>
  <si>
    <t>$40B+ North America accessible segments</t>
  </si>
  <si>
    <t>$2B-$5B near-term realistic GMV opportunity</t>
  </si>
  <si>
    <t>Collaborative and community-oriented; People-first; Not Found</t>
  </si>
  <si>
    <t>Mixed-positive depending function</t>
  </si>
  <si>
    <t>Regular reviews; team-dependent coaching</t>
  </si>
  <si>
    <t>Inclusive values; Not Found; Not Found; Not Found; Not Found</t>
  </si>
  <si>
    <t>Emphasis on transparency and trust; Not Found; Not Found</t>
  </si>
  <si>
    <t>Standard tech hours with peak launch periods</t>
  </si>
  <si>
    <t>Rare except operations incidents</t>
  </si>
  <si>
    <t>Hybrid and remote-friendly options; Not Found; Not Found</t>
  </si>
  <si>
    <t>Not Found; Not Found; Not Found; Not Found</t>
  </si>
  <si>
    <t>Moderate (Glassdoor work-life balance feedback generally positive)</t>
  </si>
  <si>
    <t>Suburban tech corridor (Redwood Shores)</t>
  </si>
  <si>
    <t>Moderate rail access; car-friendly; shuttle/cab options nearby</t>
  </si>
  <si>
    <t>Ride-share available; reimbursements role-dependent</t>
  </si>
  <si>
    <t>~25 mins from SFO off-peak</t>
  </si>
  <si>
    <t>Tech hub / commercial office district</t>
  </si>
  <si>
    <t>Generally safe daytime; normal urban caution late hours</t>
  </si>
  <si>
    <t>Office access control; HR escalation; standard safety processes</t>
  </si>
  <si>
    <t>Modern facilities; Not Found; Not Found</t>
  </si>
  <si>
    <t>Fire drills; medical response norms; building procedures</t>
  </si>
  <si>
    <t>Competitive tech benefits; Not Found; Not Found; Not Found; Not Found</t>
  </si>
  <si>
    <t>Good structured onboarding</t>
  </si>
  <si>
    <t>Internal tools learning; peer learning; conferences selective</t>
  </si>
  <si>
    <t>High exposure to social commerce and marketplace operations</t>
  </si>
  <si>
    <t>Not Found; Not Found; Not Found</t>
  </si>
  <si>
    <t>Mid-level process; evolving post-acquisition</t>
  </si>
  <si>
    <t>Modern AI and e-commerce tools; Not Found; Not Found; Not Found; Not Found</t>
  </si>
  <si>
    <t>Generally clear in mature teams</t>
  </si>
  <si>
    <t>High in lean teams</t>
  </si>
  <si>
    <t>Direct impact on platform users, sellers, and revenue; Not Found; Not Found</t>
  </si>
  <si>
    <t>Balanced but KPI-driven</t>
  </si>
  <si>
    <t>High in AI listing and discovery tools</t>
  </si>
  <si>
    <t>High across product, community, and engineering; Not Found; Not Found; Not Found</t>
  </si>
  <si>
    <t>Mature scale-up under strategic parent</t>
  </si>
  <si>
    <t>Strong recognition in U.S. fashion resale community</t>
  </si>
  <si>
    <t>Millions of individual consumers and sellers (loyal community); Not Found; Not Found; Not Found; Not Found</t>
  </si>
  <si>
    <t>Some reductions noted post-acquisition for efficiency</t>
  </si>
  <si>
    <t>Mostly fixed with bonus/equity for corporate roles</t>
  </si>
  <si>
    <t>Historical RSUs/options; parent-company structures may vary</t>
  </si>
  <si>
    <t>Competitive benefits package; Not Found; Not Found; Not Found</t>
  </si>
  <si>
    <t>Good experience in e-commerce and marketplace tech; Not Found; Not Found; Not Found; Not Found</t>
  </si>
  <si>
    <t>High relevance in social commerce, product, and AI</t>
  </si>
  <si>
    <t>Positive resume value in retail/tech sector</t>
  </si>
  <si>
    <t>Strong Silicon Valley and consumer tech connections; Not Found; Not Found</t>
  </si>
  <si>
    <t>Moderate via Naver parent; Not Found; Not Found</t>
  </si>
  <si>
    <t>Clear around community commerce and empowerment</t>
  </si>
  <si>
    <t>Strong emphasis on circular fashion; Not Found; Not Found</t>
  </si>
  <si>
    <t>Generally pragmatic cost-control and strategic acquisition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</si>
</sst>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u/>
      <sz val="11"/>
      <color theme="10"/>
      <name val="Aptos Narrow"/>
      <family val="2"/>
      <scheme val="minor"/>
    </font>
    <font>
      <sz val="11"/>
      <color rgb="FF000000"/>
      <name val="Aptos Narrow"/>
      <family val="2"/>
    </font>
  </fonts>
  <fills count="3">
    <fill>
      <patternFill patternType="none"/>
    </fill>
    <fill>
      <patternFill patternType="gray125"/>
    </fill>
    <fill>
      <patternFill patternType="solid">
        <fgColor rgb="FFC0E4F5"/>
        <bgColor rgb="FFC0E4F5"/>
      </patternFill>
    </fill>
  </fills>
  <borders count="2">
    <border>
      <left/>
      <right/>
      <top/>
      <bottom/>
      <diagonal/>
    </border>
    <border>
      <left/>
      <right/>
      <top style="thin">
        <color rgb="FF43AEE2"/>
      </top>
      <bottom style="thin">
        <color rgb="FF43AEE2"/>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2" borderId="1" xfId="0" applyFont="1" applyFill="1" applyBorder="1"/>
    <xf numFmtId="0" fontId="0" fillId="0" borderId="0" xfId="0" quotePrefix="1"/>
    <xf numFmtId="0" fontId="2" fillId="0" borderId="1" xfId="0" applyFont="1" applyBorder="1" applyAlignment="1">
      <alignment wrapText="1"/>
    </xf>
    <xf numFmtId="0" fontId="1" fillId="0" borderId="0" xfId="1" applyAlignment="1">
      <alignment wrapText="1"/>
    </xf>
    <xf numFmtId="0" fontId="2" fillId="2" borderId="1" xfId="0" applyFont="1" applyFill="1" applyBorder="1" applyAlignment="1">
      <alignment wrapText="1"/>
    </xf>
    <xf numFmtId="9" fontId="0" fillId="0" borderId="0" xfId="0" applyNumberFormat="1" applyAlignment="1">
      <alignment wrapText="1"/>
    </xf>
    <xf numFmtId="21" fontId="0" fillId="0" borderId="0" xfId="0" applyNumberFormat="1" applyAlignment="1">
      <alignment wrapText="1"/>
    </xf>
    <xf numFmtId="0" fontId="2" fillId="0" borderId="1" xfId="0" applyFont="1" applyBorder="1"/>
  </cellXfs>
  <cellStyles count="2">
    <cellStyle name="Hyperlink" xfId="1" builtinId="8"/>
    <cellStyle name="Normal" xfId="0" builtinId="0"/>
  </cellStyles>
  <dxfs count="16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B1B9AB-2F7E-49DB-9AF5-51F3D7388ACB}" name="Table1" displayName="Table1" ref="A1:FH23" totalsRowShown="0" dataDxfId="161">
  <autoFilter ref="A1:FH23" xr:uid="{9DB1B9AB-2F7E-49DB-9AF5-51F3D7388ACB}"/>
  <tableColumns count="164">
    <tableColumn id="1" xr3:uid="{C7D88224-5CCE-41CD-B3DD-412E8A1B5DE2}" name="company_id"/>
    <tableColumn id="2" xr3:uid="{BAE4A553-771F-4DAB-B4BD-62E78B784DB6}" name="name" dataDxfId="160"/>
    <tableColumn id="3" xr3:uid="{5D68E556-F1E5-4785-9D73-E6764B14D171}" name="short_name" dataDxfId="159"/>
    <tableColumn id="4" xr3:uid="{7024D9EA-3017-4097-96A9-433F25A73EE0}" name="logo_url" dataDxfId="158"/>
    <tableColumn id="5" xr3:uid="{7836AE5C-26CE-4D64-9B8F-8E069BA020B3}" name="category" dataDxfId="157"/>
    <tableColumn id="6" xr3:uid="{1DA9974B-3108-48F3-B592-59A2029ACFBD}" name="incorporation_year" dataDxfId="156"/>
    <tableColumn id="7" xr3:uid="{ADC7BCB7-5B1B-41C6-996C-B7813A25779F}" name="overview_text" dataDxfId="155"/>
    <tableColumn id="8" xr3:uid="{93437440-6D5B-4E70-9B80-C0682B9AFC8B}" name="nature_of_company" dataDxfId="154"/>
    <tableColumn id="9" xr3:uid="{91368CE9-1CB6-46A0-A8F6-4DDE48E83F04}" name="headquarters_address" dataDxfId="153"/>
    <tableColumn id="10" xr3:uid="{E9CB884F-F4FB-432E-B0A1-F875FE6C29C8}" name="operating_countries"/>
    <tableColumn id="11" xr3:uid="{3B57D01C-89C3-4083-9443-FF10EC64C848}" name="office_count" dataDxfId="152"/>
    <tableColumn id="12" xr3:uid="{4253A015-2AC6-4C97-AC82-FDEC1E3A3A63}" name="office_locations"/>
    <tableColumn id="13" xr3:uid="{13467502-33CF-4C88-B00B-4B928FFC8EDB}" name="employee_size" dataDxfId="151"/>
    <tableColumn id="14" xr3:uid="{7ABBA871-51D6-4F4B-94F1-8922280DAB3D}" name="hiring_velocity" dataDxfId="150"/>
    <tableColumn id="15" xr3:uid="{155906BC-6AF5-40C1-9849-4C2FCF25AE10}" name="employee_turnover" dataDxfId="149"/>
    <tableColumn id="16" xr3:uid="{E35CD45D-3EFE-4F2C-9CE8-A368F0CFAE92}" name="avg_retention_tenure" dataDxfId="148"/>
    <tableColumn id="17" xr3:uid="{17115602-07DD-4483-A3D2-61AAF9FABD7E}" name="pain_points_addressed" dataDxfId="147"/>
    <tableColumn id="18" xr3:uid="{42D8FB2C-D49A-4A29-805B-BE4EAD1FC392}" name="focus_sectors" dataDxfId="146"/>
    <tableColumn id="19" xr3:uid="{1571AB3C-8576-4FB5-904B-718C03BA8C0D}" name="offerings_description" dataDxfId="145"/>
    <tableColumn id="20" xr3:uid="{8FEF4162-AF1A-45B7-B430-8ABE48F041F6}" name="top_customers" dataDxfId="144"/>
    <tableColumn id="21" xr3:uid="{6C408CEC-1D90-4959-B078-4D2B1D67D209}" name="core_value_proposition" dataDxfId="143"/>
    <tableColumn id="22" xr3:uid="{342BD14B-B92C-4CF5-B462-7EE2B80CF839}" name="vision_statement" dataDxfId="142"/>
    <tableColumn id="23" xr3:uid="{CCB4FD80-658F-4B1B-B0B0-3AB2D9782628}" name="mission_statement" dataDxfId="141"/>
    <tableColumn id="24" xr3:uid="{F4A06210-ED53-4A36-8F6B-B1FC656C934D}" name="core_values" dataDxfId="140"/>
    <tableColumn id="25" xr3:uid="{9483E5CB-AFD7-4E54-A369-D8C862420E49}" name="unique_differentiators" dataDxfId="139"/>
    <tableColumn id="26" xr3:uid="{0BCBC19F-AA81-41EF-A1D1-DE99FA4D1F82}" name="competitive_advantages" dataDxfId="138"/>
    <tableColumn id="27" xr3:uid="{001769BF-3A8D-4770-B2DF-B3180D618B5D}" name="weaknesses_gaps" dataDxfId="137"/>
    <tableColumn id="28" xr3:uid="{EB30647B-C316-410B-A3AE-DADA606EAB83}" name="key_challenges_needs" dataDxfId="136"/>
    <tableColumn id="29" xr3:uid="{91AF7F5D-18C2-4043-9057-2EF5DF752BE6}" name="key_competitors" dataDxfId="135"/>
    <tableColumn id="30" xr3:uid="{8E80436A-32B0-4DDC-AD89-9EAC85AB84BC}" name="technology_partners" dataDxfId="134"/>
    <tableColumn id="31" xr3:uid="{E3B2E41C-9B04-4A7F-B769-70D9F4A5A511}" name="history_timeline" dataDxfId="133"/>
    <tableColumn id="32" xr3:uid="{4074D4E7-92A5-4130-ACD7-800F1FD19561}" name="recent_news" dataDxfId="132"/>
    <tableColumn id="33" xr3:uid="{E68858BA-1D10-48A4-9654-739658D66A86}" name="website_url" dataDxfId="131"/>
    <tableColumn id="34" xr3:uid="{ED55E666-7481-414A-B3D5-4D75F7238D99}" name="website_quality" dataDxfId="130"/>
    <tableColumn id="35" xr3:uid="{3A3823A6-E4DD-4A2F-AFAB-5E8D62EAB744}" name="website_rating" dataDxfId="129"/>
    <tableColumn id="36" xr3:uid="{3809B880-7BAE-4D6E-BBD6-C4BF45B07A99}" name="website_traffic_rank" dataDxfId="128"/>
    <tableColumn id="37" xr3:uid="{3E229106-6873-452D-BBDD-1EB0058037F5}" name="social_media_followers" dataDxfId="127"/>
    <tableColumn id="38" xr3:uid="{D1AFCF15-B3F0-4971-84EF-7110D53D2CE1}" name="glassdoor_rating" dataDxfId="126"/>
    <tableColumn id="39" xr3:uid="{3857B3D7-B8AB-46C2-8EBD-6B8B0B9BBBCF}" name="indeed_rating" dataDxfId="125"/>
    <tableColumn id="40" xr3:uid="{3D889DD6-090C-4CB9-89D5-F5324470340B}" name="google_rating" dataDxfId="124"/>
    <tableColumn id="41" xr3:uid="{6FFB3A38-F6A8-45C9-B2EB-B52BB0593E7A}" name="linkedin_url" dataDxfId="123"/>
    <tableColumn id="42" xr3:uid="{003EC4CE-3873-4D06-AA8B-6CE343A6BA4D}" name="twitter_handle" dataDxfId="122"/>
    <tableColumn id="43" xr3:uid="{EB414B38-7E00-4EDE-BF5B-AB581A65C218}" name="facebook_url" dataDxfId="121"/>
    <tableColumn id="44" xr3:uid="{9F426318-120C-43A7-85B1-1C3191E213ED}" name="instagram_url" dataDxfId="120"/>
    <tableColumn id="45" xr3:uid="{323CBEFD-0319-4653-8B98-3363E4072507}" name="ceo_name" dataDxfId="119"/>
    <tableColumn id="46" xr3:uid="{E364CB51-DF96-4657-98A7-F50753844700}" name="ceo_linkedin_url" dataDxfId="118"/>
    <tableColumn id="47" xr3:uid="{842B24A1-CB80-4838-A7AE-EF3F65ED2629}" name="key_leaders" dataDxfId="117"/>
    <tableColumn id="48" xr3:uid="{0FCFAE8F-12E5-4844-B989-074FF94CA745}" name="warm_intro_pathways" dataDxfId="116"/>
    <tableColumn id="49" xr3:uid="{E7198466-6265-4AA2-B5E8-0933DBE99203}" name="decision_maker_access" dataDxfId="115"/>
    <tableColumn id="50" xr3:uid="{ABF09BA3-5249-40DF-9B17-481181E4D3FC}" name="primary_contact_email" dataDxfId="114"/>
    <tableColumn id="51" xr3:uid="{433960A5-BBC0-4C35-B0D5-2A9555E5878A}" name="primary_phone_number" dataDxfId="113"/>
    <tableColumn id="52" xr3:uid="{9C49C721-CCE2-4C1B-B939-2DFFB3EC6C53}" name="contact_person_name" dataDxfId="112"/>
    <tableColumn id="53" xr3:uid="{C9D7CB11-4963-4AAF-8727-F4E74A4BB5D3}" name="contact_person_title" dataDxfId="111"/>
    <tableColumn id="54" xr3:uid="{407D85DD-D66E-421B-A8A2-F49D697F7234}" name="contact_person_email" dataDxfId="110"/>
    <tableColumn id="55" xr3:uid="{AE6F14C7-F160-4FB9-AA33-C02793993185}" name="contact_person_phone" dataDxfId="109"/>
    <tableColumn id="56" xr3:uid="{01277BC7-86AF-4C03-935C-8CE394E437F7}" name="awards_recognitions" dataDxfId="108"/>
    <tableColumn id="57" xr3:uid="{E2466181-88FE-4964-95D5-0B68573BF0D5}" name="brand_sentiment_score" dataDxfId="107"/>
    <tableColumn id="58" xr3:uid="{680158B1-6250-45ED-80A6-43D18CDAF5BC}" name="event_participation" dataDxfId="106"/>
    <tableColumn id="59" xr3:uid="{4ADD1FF3-DEC9-4531-A347-A9A37CAD3B36}" name="regulatory_status" dataDxfId="105"/>
    <tableColumn id="60" xr3:uid="{BB08CB72-D9EB-434F-AF40-A27D35C8570A}" name="legal_issues" dataDxfId="104"/>
    <tableColumn id="61" xr3:uid="{5336796D-E457-4954-B36C-5348072D98C7}" name="annual_revenue" dataDxfId="103"/>
    <tableColumn id="62" xr3:uid="{60953408-B227-45E6-87DF-50ACC29F86F9}" name="annual_profit" dataDxfId="102"/>
    <tableColumn id="63" xr3:uid="{208682BE-B603-497C-9794-B1A729A90E05}" name="revenue_mix" dataDxfId="101"/>
    <tableColumn id="64" xr3:uid="{0362FF5E-84BC-4CDA-B3AF-71E695116E52}" name="valuation" dataDxfId="100"/>
    <tableColumn id="65" xr3:uid="{8131992B-8F32-4565-8EBA-B954785EABEC}" name="yoy_growth_rate" dataDxfId="99"/>
    <tableColumn id="66" xr3:uid="{AFE4F2CA-36AD-46E8-AFFA-776D69B9E1D7}" name="profitability_status" dataDxfId="98"/>
    <tableColumn id="67" xr3:uid="{EF241014-90CF-492A-9DD0-6D13526B0175}" name="market_share_percentage" dataDxfId="97"/>
    <tableColumn id="68" xr3:uid="{0D564799-FDFD-4064-BC59-254CEC9FE13C}" name="key_investors" dataDxfId="96"/>
    <tableColumn id="69" xr3:uid="{02FD2E3F-F20A-4E44-A6D3-5AADE877369A}" name="recent_funding_rounds" dataDxfId="95"/>
    <tableColumn id="70" xr3:uid="{44487A7D-238C-4A0B-8AD2-37F9CFD78D17}" name="total_capital_raised" dataDxfId="94"/>
    <tableColumn id="71" xr3:uid="{5BB0481F-085A-4A19-842A-829D02971F7E}" name="esg_ratings" dataDxfId="93"/>
    <tableColumn id="72" xr3:uid="{1B2C52B0-4B8E-486F-9E5E-DDA2B4DC9D1A}" name="sales_motion" dataDxfId="92"/>
    <tableColumn id="73" xr3:uid="{A9351CC1-5E4C-4CF8-A416-1C5F88554E13}" name="customer_acquisition_cost" dataDxfId="91"/>
    <tableColumn id="74" xr3:uid="{9E424B69-598C-4934-BF2D-5D5388EEC925}" name="customer_lifetime_value" dataDxfId="90"/>
    <tableColumn id="75" xr3:uid="{019FE388-0CF5-4ADA-B3CB-E93CEB4816E5}" name="cac_ltv_ratio" dataDxfId="89"/>
    <tableColumn id="76" xr3:uid="{6ED19BBC-7973-44F9-9103-DA6159CEEC5C}" name="churn_rate" dataDxfId="88"/>
    <tableColumn id="77" xr3:uid="{1F7B3416-0549-42F0-8B03-D30F96073325}" name="net_promoter_score" dataDxfId="87"/>
    <tableColumn id="78" xr3:uid="{595EC0FF-837A-4F7C-8342-042EE72B3E98}" name="customer_concentration_risk" dataDxfId="86"/>
    <tableColumn id="79" xr3:uid="{D632437A-8AED-4F21-834D-74852E955D08}" name="burn_rate" dataDxfId="85"/>
    <tableColumn id="80" xr3:uid="{2D15E273-D8FB-4B8F-BD1D-AF2EAC92A23F}" name="runway_months" dataDxfId="84"/>
    <tableColumn id="81" xr3:uid="{1B3C3BDA-A340-4227-9514-BE9777A908BF}" name="burn_multiplier" dataDxfId="83"/>
    <tableColumn id="82" xr3:uid="{C1A40DB8-45F4-41C5-A4DA-7F95C582C6DB}" name="intellectual_property" dataDxfId="82"/>
    <tableColumn id="83" xr3:uid="{A82E0D22-0F90-4709-B604-3F96560F6E2B}" name="r_and_d_investment" dataDxfId="81"/>
    <tableColumn id="84" xr3:uid="{F0D3E422-8E25-418A-A364-4CAC877C640B}" name="ai_ml_adoption_level" dataDxfId="80"/>
    <tableColumn id="85" xr3:uid="{499E7554-DCA3-4947-9B84-DC00C7251787}" name="tech_stack" dataDxfId="79"/>
    <tableColumn id="86" xr3:uid="{5B205105-77A9-4B76-BB29-48C2E5E35A1A}" name="cybersecurity_posture" dataDxfId="78"/>
    <tableColumn id="87" xr3:uid="{A9F1E681-94C8-4909-96A6-85236A4C310D}" name="supply_chain_dependencies" dataDxfId="77"/>
    <tableColumn id="88" xr3:uid="{00F50E04-1CBE-44D2-9C7C-35EC0D048E22}" name="geopolitical_risks" dataDxfId="76"/>
    <tableColumn id="89" xr3:uid="{F35C8C3E-6CB8-4F07-AC23-734724DC8DD3}" name="macro_risks" dataDxfId="75"/>
    <tableColumn id="90" xr3:uid="{7DACC018-4572-428A-84B7-3D9322A5890B}" name="diversity_metrics" dataDxfId="74"/>
    <tableColumn id="91" xr3:uid="{9CC9E697-4D7F-4F34-9A81-A3A3D9669FB8}" name="remote_policy_details" dataDxfId="73"/>
    <tableColumn id="92" xr3:uid="{ACAED095-D4D3-4A21-8FB3-2DB648332494}" name="training_spend" dataDxfId="72"/>
    <tableColumn id="93" xr3:uid="{99684B4A-F1EF-48D6-9E4C-E5E7E2FBFD56}" name="partnership_ecosystem" dataDxfId="71"/>
    <tableColumn id="94" xr3:uid="{872DC8A9-2595-41BC-8617-4FC6AB88F730}" name="exit_strategy_history" dataDxfId="70"/>
    <tableColumn id="95" xr3:uid="{CF0B69F0-3A2D-46BD-87BB-E19344616E84}" name="carbon_footprint" dataDxfId="69"/>
    <tableColumn id="96" xr3:uid="{59DCFCD3-0528-4E92-88A4-B328A61DD4D8}" name="ethical_sourcing" dataDxfId="68"/>
    <tableColumn id="97" xr3:uid="{995A54CE-F74F-406A-A5E4-5A204B220CD0}" name="benchmark_vs_peers" dataDxfId="67"/>
    <tableColumn id="98" xr3:uid="{52FB671E-3CA0-4AA2-B358-0E82F9C33D6F}" name="future_projections" dataDxfId="66"/>
    <tableColumn id="99" xr3:uid="{A32F6BFB-8E83-4E38-8D12-012EDBDFB054}" name="strategic_priorities" dataDxfId="65"/>
    <tableColumn id="100" xr3:uid="{010E7FC9-69FA-4EE1-BCCD-5C86831E1EA5}" name="industry_associations" dataDxfId="64"/>
    <tableColumn id="101" xr3:uid="{D76CE8D3-647F-4805-8668-5C4AD5B69125}" name="case_studies" dataDxfId="63"/>
    <tableColumn id="102" xr3:uid="{E7BFFD1F-FA96-4343-B78A-5EA0708511D7}" name="go_to_market_strategy" dataDxfId="62"/>
    <tableColumn id="103" xr3:uid="{95858DAD-56BF-45AE-9A6A-EE49D29F54CF}" name="innovation_roadmap" dataDxfId="61"/>
    <tableColumn id="104" xr3:uid="{0C6AF23B-3E9B-4E8F-AC11-1D893AED3FA4}" name="product_pipeline" dataDxfId="60"/>
    <tableColumn id="105" xr3:uid="{8D5E7B66-9C8B-4E35-A034-67B60561BF66}" name="board_members" dataDxfId="59"/>
    <tableColumn id="106" xr3:uid="{50B54D04-FA20-4977-BD25-520E2797C9E6}" name="marketing_video_url" dataDxfId="58"/>
    <tableColumn id="107" xr3:uid="{D2956DE2-BA91-4E2C-B8B1-05FE13530632}" name="customer_testimonials" dataDxfId="57"/>
    <tableColumn id="108" xr3:uid="{24D2AA4D-A4B6-498B-AB58-B442BBE5CD5E}" name="tech_adoption_rating" dataDxfId="56"/>
    <tableColumn id="109" xr3:uid="{5E47708F-315E-4C9D-BEF9-B8470E9AC39F}" name="tam" dataDxfId="55"/>
    <tableColumn id="110" xr3:uid="{47DE1271-BC6B-4C84-BFAA-C4A80C17496A}" name="sam" dataDxfId="54"/>
    <tableColumn id="111" xr3:uid="{20D4AD75-3CA9-4CCB-88C6-928964DA8009}" name="som" dataDxfId="53"/>
    <tableColumn id="112" xr3:uid="{87EEEFEF-D54D-4A7E-993B-CB2BB06E7337}" name="work_culture_summary" dataDxfId="52"/>
    <tableColumn id="113" xr3:uid="{FF192082-5651-46DE-9DBF-936993B2DBFA}" name="manager_quality" dataDxfId="51"/>
    <tableColumn id="114" xr3:uid="{7AA264E6-2FB0-4147-BF7C-FD06E7703378}" name="psychological_safety" dataDxfId="50"/>
    <tableColumn id="115" xr3:uid="{94E43633-4D14-428B-AC88-88F3DEC150F2}" name="feedback_culture" dataDxfId="49"/>
    <tableColumn id="116" xr3:uid="{44CCC796-FE79-4014-9255-85A4F8996F05}" name="diversity_inclusion_score" dataDxfId="48"/>
    <tableColumn id="117" xr3:uid="{9C296498-CDA0-407A-8053-2A24CA750405}" name="ethical_standards" dataDxfId="47"/>
    <tableColumn id="118" xr3:uid="{D2AFF8D7-5916-42AD-9F8D-A91D8F476712}" name="typical_hours" dataDxfId="46"/>
    <tableColumn id="119" xr3:uid="{50E59277-8AD6-4258-8FC9-7911DC92A646}" name="overtime_expectations" dataDxfId="45"/>
    <tableColumn id="120" xr3:uid="{8A71FD91-E753-49A3-B271-D02623A9834A}" name="weekend_work" dataDxfId="44"/>
    <tableColumn id="121" xr3:uid="{53A82BA1-1393-4B69-AA64-F554BF974712}" name="flexibility_level" dataDxfId="43"/>
    <tableColumn id="122" xr3:uid="{9AC3074C-BA1E-4782-820B-29727A0AD0E8}" name="leave_policy" dataDxfId="42"/>
    <tableColumn id="123" xr3:uid="{7B14DC0C-8BD7-4594-9A9F-307C8EFC95E6}" name="burnout_risk" dataDxfId="41"/>
    <tableColumn id="124" xr3:uid="{9B712A93-BDB0-4574-9224-756B7D36536C}" name="location_centrality" dataDxfId="40"/>
    <tableColumn id="125" xr3:uid="{2067F16A-3B11-4E48-ACAE-BA297C859A86}" name="public_transport_access" dataDxfId="39"/>
    <tableColumn id="126" xr3:uid="{88325ED6-D403-4A5D-B137-AD0CF01ED7C4}" name="cab_policy" dataDxfId="38"/>
    <tableColumn id="127" xr3:uid="{ED6FDAA3-19DE-4A6E-8BD2-5AEB4D06E9C1}" name="airport_commute_time" dataDxfId="37"/>
    <tableColumn id="128" xr3:uid="{7160AD42-B3CC-498A-A4ED-D1C4ECE88FFA}" name="office_zone_type" dataDxfId="36"/>
    <tableColumn id="129" xr3:uid="{731B91C4-4DC1-4F7D-BAD3-49BD2AA266B2}" name="area_safety" dataDxfId="35"/>
    <tableColumn id="130" xr3:uid="{71C0F758-3000-4342-9115-A31BC7CCB23A}" name="safety_policies" dataDxfId="34"/>
    <tableColumn id="131" xr3:uid="{4A965EF0-A606-458A-B1A2-2CECAF9BEF18}" name="infrastructure_safety" dataDxfId="33"/>
    <tableColumn id="132" xr3:uid="{39EBEF58-5B9C-4F3C-B091-1185969C4A42}" name="emergency_preparedness" dataDxfId="32"/>
    <tableColumn id="133" xr3:uid="{99552C6A-AE38-46F3-A557-9120E991B712}" name="health_support" dataDxfId="31"/>
    <tableColumn id="134" xr3:uid="{647C4F6C-AA33-48FC-B853-A56F876CDD15}" name="onboarding_quality" dataDxfId="30"/>
    <tableColumn id="135" xr3:uid="{1597503B-D3E2-4F39-B8BA-CAB5B4A02BAD}" name="learning_culture" dataDxfId="29"/>
    <tableColumn id="136" xr3:uid="{3E66F09F-F0E6-4953-8B47-B6A2FC176DE7}" name="exposure_quality" dataDxfId="28"/>
    <tableColumn id="137" xr3:uid="{0E059000-702C-4B68-8178-11E4616C2762}" name="mentorship_availability" dataDxfId="27"/>
    <tableColumn id="138" xr3:uid="{75D0F5F2-7BE9-492B-B5D2-DACD3B582708}" name="internal_mobility" dataDxfId="26"/>
    <tableColumn id="139" xr3:uid="{2702E4AB-34AA-4FCA-B7C8-AF1B08DFADD8}" name="promotion_clarity" dataDxfId="25"/>
    <tableColumn id="140" xr3:uid="{201F709A-4F88-4F2F-81AD-06297E062C75}" name="tools_access" dataDxfId="24"/>
    <tableColumn id="141" xr3:uid="{B373D709-DC5A-4C1B-A2C4-E7284EAD14D1}" name="role_clarity" dataDxfId="23"/>
    <tableColumn id="142" xr3:uid="{26D08567-DB9E-43AA-A8CE-6D445F8BD86B}" name="early_ownership" dataDxfId="22"/>
    <tableColumn id="143" xr3:uid="{DA32670B-B9D3-4FEF-9900-A77B7D795286}" name="work_impact" dataDxfId="21"/>
    <tableColumn id="144" xr3:uid="{C84C0BE2-3A95-4180-871A-96710CFC832B}" name="execution_thinking_balance" dataDxfId="20"/>
    <tableColumn id="145" xr3:uid="{526FC1BB-DE51-44E9-96BF-53E415B7A20A}" name="automation_level" dataDxfId="19"/>
    <tableColumn id="146" xr3:uid="{80A2192C-B31B-40C8-9C71-7A2817BE3FAD}" name="cross_functional_exposure" dataDxfId="18"/>
    <tableColumn id="147" xr3:uid="{60A919C0-66D4-4095-A10B-499D76618B0F}" name="company_maturity" dataDxfId="17"/>
    <tableColumn id="148" xr3:uid="{ADB6EBEB-F809-41FC-8BBF-F6F4AE2C12F0}" name="brand_value" dataDxfId="16"/>
    <tableColumn id="149" xr3:uid="{CAC492E8-1CEF-42EF-A5C1-2548CFC2D0B2}" name="client_quality" dataDxfId="15"/>
    <tableColumn id="150" xr3:uid="{CC5146B8-8E99-4B00-86C6-51FBE0CB374C}" name="layoff_history" dataDxfId="14"/>
    <tableColumn id="151" xr3:uid="{EA80AAB0-E2BC-4372-BEBA-225AE29F8D26}" name="fixed_vs_variable_pay" dataDxfId="13"/>
    <tableColumn id="152" xr3:uid="{28D644AA-2FB4-4476-ABC0-17A7A5194F24}" name="bonus_predictability" dataDxfId="12"/>
    <tableColumn id="153" xr3:uid="{E7F6E1CE-7B87-443D-9402-48F31F235E63}" name="esops_incentives" dataDxfId="11"/>
    <tableColumn id="154" xr3:uid="{D1706100-FD22-4D28-A9A0-6F572A0D5271}" name="family_health_insurance" dataDxfId="10"/>
    <tableColumn id="155" xr3:uid="{6E1620FE-05E1-4D03-997E-26280E7BBF28}" name="relocation_support" dataDxfId="9"/>
    <tableColumn id="156" xr3:uid="{F1BB985A-D616-49CB-977D-585C6C33A6C4}" name="lifestyle_benefits" dataDxfId="8"/>
    <tableColumn id="157" xr3:uid="{C81DECBE-11C4-47C6-9435-926AA3E77BEF}" name="exit_opportunities" dataDxfId="7"/>
    <tableColumn id="158" xr3:uid="{04200F8F-59AD-4B48-A0BB-7B53FC050243}" name="skill_relevance" dataDxfId="6"/>
    <tableColumn id="159" xr3:uid="{342ECED5-6124-4F81-B384-3F74687896A5}" name="external_recognition" dataDxfId="5"/>
    <tableColumn id="160" xr3:uid="{2B7F54E9-77F5-421B-A1E2-8AA0FD751AB6}" name="network_strength" dataDxfId="4"/>
    <tableColumn id="161" xr3:uid="{48C0F7A2-F06A-4563-9EAF-14D879B3198A}" name="global_exposure" dataDxfId="3"/>
    <tableColumn id="162" xr3:uid="{450218F5-CA20-4FCB-9B33-92DDB0566118}" name="mission_clarity" dataDxfId="2"/>
    <tableColumn id="163" xr3:uid="{570747ED-F47A-4A53-BDDE-C4176623AA0E}" name="sustainability_csr" dataDxfId="1"/>
    <tableColumn id="164" xr3:uid="{6CC8A8EB-6789-4830-94D9-7AD0E17FC350}" name="crisis_behavi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company/poshmark/" TargetMode="External"/><Relationship Id="rId2" Type="http://schemas.openxmlformats.org/officeDocument/2006/relationships/hyperlink" Target="https://pocketfm.com/assets/img/logo.svg;%20https:/play-lh.googleusercontent.com/0z3h1pZ2xZ6zZ6zZ6zZ6zZ6zZ6zZ6zZ6zZ6zZ6zZ;%20https:/upload.wikimedia.org/wikipedia/commons/pocketfm_logo.png" TargetMode="External"/><Relationship Id="rId1" Type="http://schemas.openxmlformats.org/officeDocument/2006/relationships/hyperlink" Target="https://www.phonepe.com/static/media/phonepe-logo.bf7d9e47.svg;%20https:/play-lh.googleusercontent.com/kYpJp6Q6p6Lq_3T_0r8N5z6ZfX_2rM5m6z6ZfX_2rM5m6z6ZfX;%20https:/apps.apple.com/in/app/phonepe/id1202817381%20marketresearch" TargetMode="External"/><Relationship Id="rId5" Type="http://schemas.openxmlformats.org/officeDocument/2006/relationships/table" Target="../tables/table1.xml"/><Relationship Id="rId4" Type="http://schemas.openxmlformats.org/officeDocument/2006/relationships/hyperlink" Target="https://www.linkedin.com/company/oxauniversalautonom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H23"/>
  <sheetViews>
    <sheetView tabSelected="1" workbookViewId="0">
      <selection sqref="A1:FI23"/>
    </sheetView>
  </sheetViews>
  <sheetFormatPr defaultRowHeight="15"/>
  <sheetData>
    <row r="1" spans="1:164" ht="4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s="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row>
    <row r="2" spans="1:164">
      <c r="A2">
        <v>367</v>
      </c>
      <c r="B2" t="s">
        <v>164</v>
      </c>
      <c r="C2" t="s">
        <v>165</v>
      </c>
      <c r="D2" t="s">
        <v>166</v>
      </c>
      <c r="E2" t="s">
        <v>167</v>
      </c>
      <c r="F2" t="s">
        <v>168</v>
      </c>
      <c r="G2" t="s">
        <v>169</v>
      </c>
      <c r="H2" t="s">
        <v>170</v>
      </c>
      <c r="I2" t="s">
        <v>171</v>
      </c>
      <c r="J2" s="2" t="s">
        <v>172</v>
      </c>
      <c r="K2">
        <v>3</v>
      </c>
      <c r="L2" s="2" t="s">
        <v>173</v>
      </c>
      <c r="M2">
        <v>1200</v>
      </c>
      <c r="N2" t="s">
        <v>174</v>
      </c>
      <c r="O2">
        <v>0.18</v>
      </c>
      <c r="P2" t="s">
        <v>175</v>
      </c>
      <c r="Q2" t="s">
        <v>176</v>
      </c>
      <c r="R2" t="s">
        <v>177</v>
      </c>
      <c r="S2" t="s">
        <v>178</v>
      </c>
      <c r="T2" t="s">
        <v>179</v>
      </c>
      <c r="U2" t="s">
        <v>180</v>
      </c>
      <c r="V2" t="s">
        <v>181</v>
      </c>
      <c r="W2" t="s">
        <v>182</v>
      </c>
      <c r="X2" t="s">
        <v>183</v>
      </c>
      <c r="Y2" t="s">
        <v>184</v>
      </c>
      <c r="Z2" t="s">
        <v>185</v>
      </c>
      <c r="AA2" t="s">
        <v>186</v>
      </c>
      <c r="AB2" t="s">
        <v>187</v>
      </c>
      <c r="AC2" t="s">
        <v>188</v>
      </c>
      <c r="AD2" t="s">
        <v>189</v>
      </c>
      <c r="AE2" t="s">
        <v>190</v>
      </c>
      <c r="AF2" t="s">
        <v>191</v>
      </c>
      <c r="AG2" t="s">
        <v>192</v>
      </c>
      <c r="AH2" t="s">
        <v>193</v>
      </c>
      <c r="AI2">
        <v>6.5</v>
      </c>
      <c r="AJ2" t="s">
        <v>194</v>
      </c>
      <c r="AK2" t="s">
        <v>195</v>
      </c>
      <c r="AL2" t="s">
        <v>196</v>
      </c>
      <c r="AM2" t="s">
        <v>197</v>
      </c>
      <c r="AN2" t="s">
        <v>198</v>
      </c>
      <c r="AO2" t="s">
        <v>199</v>
      </c>
      <c r="AP2" s="3" t="s">
        <v>200</v>
      </c>
      <c r="AQ2" t="s">
        <v>201</v>
      </c>
      <c r="AR2" t="s">
        <v>202</v>
      </c>
      <c r="AS2" t="s">
        <v>203</v>
      </c>
      <c r="AT2" t="s">
        <v>204</v>
      </c>
      <c r="AU2" t="s">
        <v>205</v>
      </c>
      <c r="AV2" t="s">
        <v>206</v>
      </c>
      <c r="AW2" t="s">
        <v>207</v>
      </c>
      <c r="AX2" t="s">
        <v>208</v>
      </c>
      <c r="AY2" t="s">
        <v>209</v>
      </c>
      <c r="AZ2" t="s">
        <v>210</v>
      </c>
      <c r="BA2" t="s">
        <v>211</v>
      </c>
      <c r="BB2" t="s">
        <v>212</v>
      </c>
      <c r="BC2" t="s">
        <v>213</v>
      </c>
      <c r="BD2" t="s">
        <v>214</v>
      </c>
      <c r="BE2" t="s">
        <v>215</v>
      </c>
      <c r="BF2" t="s">
        <v>216</v>
      </c>
      <c r="BG2" t="s">
        <v>217</v>
      </c>
      <c r="BH2" t="s">
        <v>218</v>
      </c>
      <c r="BI2" t="s">
        <v>219</v>
      </c>
      <c r="BJ2" t="s">
        <v>220</v>
      </c>
      <c r="BK2" t="s">
        <v>221</v>
      </c>
      <c r="BL2" t="s">
        <v>222</v>
      </c>
      <c r="BM2" t="s">
        <v>223</v>
      </c>
      <c r="BN2" t="s">
        <v>224</v>
      </c>
      <c r="BO2" t="s">
        <v>225</v>
      </c>
      <c r="BP2" t="s">
        <v>226</v>
      </c>
      <c r="BQ2" t="s">
        <v>227</v>
      </c>
      <c r="BR2" t="s">
        <v>228</v>
      </c>
      <c r="BS2" t="s">
        <v>229</v>
      </c>
      <c r="BT2" t="s">
        <v>230</v>
      </c>
      <c r="BU2" t="s">
        <v>231</v>
      </c>
      <c r="BV2" t="s">
        <v>232</v>
      </c>
      <c r="BW2">
        <v>4.8611111111111112E-2</v>
      </c>
      <c r="BX2" t="s">
        <v>233</v>
      </c>
      <c r="BY2" t="s">
        <v>234</v>
      </c>
      <c r="BZ2" t="s">
        <v>235</v>
      </c>
      <c r="CA2" t="s">
        <v>236</v>
      </c>
      <c r="CB2" t="s">
        <v>237</v>
      </c>
      <c r="CC2" t="s">
        <v>238</v>
      </c>
      <c r="CD2" t="s">
        <v>239</v>
      </c>
      <c r="CE2" t="s">
        <v>240</v>
      </c>
      <c r="CF2" t="s">
        <v>241</v>
      </c>
      <c r="CG2" t="s">
        <v>242</v>
      </c>
      <c r="CH2" t="s">
        <v>243</v>
      </c>
      <c r="CI2" t="s">
        <v>244</v>
      </c>
      <c r="CJ2" t="s">
        <v>245</v>
      </c>
      <c r="CK2" t="s">
        <v>246</v>
      </c>
      <c r="CL2" t="s">
        <v>247</v>
      </c>
      <c r="CM2" t="s">
        <v>248</v>
      </c>
      <c r="CN2" t="s">
        <v>249</v>
      </c>
      <c r="CO2" t="s">
        <v>250</v>
      </c>
      <c r="CP2" t="s">
        <v>251</v>
      </c>
      <c r="CQ2" t="s">
        <v>252</v>
      </c>
      <c r="CR2" t="s">
        <v>253</v>
      </c>
      <c r="CS2" t="s">
        <v>254</v>
      </c>
      <c r="CT2" t="s">
        <v>255</v>
      </c>
      <c r="CU2" t="s">
        <v>256</v>
      </c>
      <c r="CV2" t="s">
        <v>257</v>
      </c>
      <c r="CW2" t="s">
        <v>258</v>
      </c>
      <c r="CX2" t="s">
        <v>259</v>
      </c>
      <c r="CY2" t="s">
        <v>260</v>
      </c>
      <c r="CZ2" t="s">
        <v>261</v>
      </c>
      <c r="DA2" t="s">
        <v>262</v>
      </c>
      <c r="DB2" t="s">
        <v>263</v>
      </c>
      <c r="DC2" t="s">
        <v>264</v>
      </c>
      <c r="DD2" t="s">
        <v>265</v>
      </c>
      <c r="DE2" t="s">
        <v>266</v>
      </c>
      <c r="DF2" t="s">
        <v>267</v>
      </c>
      <c r="DG2" t="s">
        <v>268</v>
      </c>
      <c r="DH2" t="s">
        <v>269</v>
      </c>
      <c r="DI2" t="s">
        <v>270</v>
      </c>
      <c r="DJ2" t="s">
        <v>271</v>
      </c>
      <c r="DK2" t="s">
        <v>272</v>
      </c>
      <c r="DL2" t="s">
        <v>273</v>
      </c>
      <c r="DM2" t="s">
        <v>274</v>
      </c>
      <c r="DN2" t="s">
        <v>275</v>
      </c>
      <c r="DO2" t="s">
        <v>276</v>
      </c>
      <c r="DP2" t="s">
        <v>277</v>
      </c>
      <c r="DQ2" t="s">
        <v>278</v>
      </c>
      <c r="DR2" t="s">
        <v>279</v>
      </c>
      <c r="DS2" t="s">
        <v>280</v>
      </c>
      <c r="DT2" t="s">
        <v>281</v>
      </c>
      <c r="DU2" t="s">
        <v>282</v>
      </c>
      <c r="DV2" t="s">
        <v>283</v>
      </c>
      <c r="DW2" t="s">
        <v>284</v>
      </c>
      <c r="DX2" t="s">
        <v>285</v>
      </c>
      <c r="DY2" t="s">
        <v>286</v>
      </c>
      <c r="DZ2" t="s">
        <v>287</v>
      </c>
      <c r="EA2" t="s">
        <v>288</v>
      </c>
      <c r="EB2" t="s">
        <v>289</v>
      </c>
      <c r="EC2" t="s">
        <v>290</v>
      </c>
      <c r="ED2" t="s">
        <v>291</v>
      </c>
      <c r="EE2" t="s">
        <v>292</v>
      </c>
      <c r="EF2" t="s">
        <v>293</v>
      </c>
      <c r="EG2" t="s">
        <v>294</v>
      </c>
      <c r="EH2" t="s">
        <v>295</v>
      </c>
      <c r="EI2" t="s">
        <v>296</v>
      </c>
      <c r="EJ2" t="s">
        <v>297</v>
      </c>
      <c r="EK2" t="s">
        <v>298</v>
      </c>
      <c r="EL2" t="s">
        <v>271</v>
      </c>
      <c r="EM2" t="s">
        <v>299</v>
      </c>
      <c r="EN2" t="s">
        <v>300</v>
      </c>
      <c r="EO2" t="s">
        <v>295</v>
      </c>
      <c r="EP2" t="s">
        <v>301</v>
      </c>
      <c r="EQ2" t="s">
        <v>302</v>
      </c>
      <c r="ER2" t="s">
        <v>303</v>
      </c>
      <c r="ES2" t="s">
        <v>304</v>
      </c>
      <c r="ET2" t="s">
        <v>305</v>
      </c>
      <c r="EU2" t="s">
        <v>306</v>
      </c>
      <c r="EV2" t="s">
        <v>307</v>
      </c>
      <c r="EW2" t="s">
        <v>308</v>
      </c>
      <c r="EX2" t="s">
        <v>309</v>
      </c>
      <c r="EY2" t="s">
        <v>310</v>
      </c>
      <c r="EZ2" t="s">
        <v>311</v>
      </c>
      <c r="FA2" t="s">
        <v>312</v>
      </c>
      <c r="FB2" t="s">
        <v>313</v>
      </c>
      <c r="FC2" t="s">
        <v>314</v>
      </c>
      <c r="FD2" t="s">
        <v>315</v>
      </c>
      <c r="FE2" t="s">
        <v>316</v>
      </c>
      <c r="FF2" t="s">
        <v>317</v>
      </c>
      <c r="FG2" t="s">
        <v>318</v>
      </c>
      <c r="FH2" t="s">
        <v>319</v>
      </c>
    </row>
    <row r="3" spans="1:164" ht="409.6">
      <c r="A3">
        <v>368</v>
      </c>
      <c r="B3" s="1" t="s">
        <v>320</v>
      </c>
      <c r="C3" s="1" t="s">
        <v>321</v>
      </c>
      <c r="D3" s="1" t="s">
        <v>322</v>
      </c>
      <c r="E3" s="1" t="s">
        <v>323</v>
      </c>
      <c r="F3" s="1">
        <v>2014</v>
      </c>
      <c r="G3" s="1" t="s">
        <v>324</v>
      </c>
      <c r="H3" s="1" t="s">
        <v>325</v>
      </c>
      <c r="I3" s="1" t="s">
        <v>326</v>
      </c>
      <c r="J3" s="4" t="s">
        <v>327</v>
      </c>
      <c r="K3" s="1">
        <v>5</v>
      </c>
      <c r="L3" s="4" t="s">
        <v>328</v>
      </c>
      <c r="M3" s="1" t="s">
        <v>329</v>
      </c>
      <c r="N3" s="1" t="s">
        <v>330</v>
      </c>
      <c r="O3" s="1" t="s">
        <v>331</v>
      </c>
      <c r="P3" s="1" t="s">
        <v>332</v>
      </c>
      <c r="Q3" s="1" t="s">
        <v>333</v>
      </c>
      <c r="R3" s="1" t="s">
        <v>334</v>
      </c>
      <c r="S3" s="1" t="s">
        <v>335</v>
      </c>
      <c r="T3" s="1" t="s">
        <v>336</v>
      </c>
      <c r="U3" s="1" t="s">
        <v>337</v>
      </c>
      <c r="V3" s="1" t="s">
        <v>338</v>
      </c>
      <c r="W3" s="1" t="s">
        <v>339</v>
      </c>
      <c r="X3" s="1" t="s">
        <v>340</v>
      </c>
      <c r="Y3" s="1" t="s">
        <v>341</v>
      </c>
      <c r="Z3" s="1" t="s">
        <v>342</v>
      </c>
      <c r="AA3" s="1" t="s">
        <v>343</v>
      </c>
      <c r="AB3" s="1" t="s">
        <v>344</v>
      </c>
      <c r="AC3" s="1" t="s">
        <v>345</v>
      </c>
      <c r="AD3" s="1" t="s">
        <v>346</v>
      </c>
      <c r="AE3" s="1" t="s">
        <v>347</v>
      </c>
      <c r="AF3" s="1" t="s">
        <v>348</v>
      </c>
      <c r="AG3" s="1" t="s">
        <v>349</v>
      </c>
      <c r="AH3" s="1" t="s">
        <v>350</v>
      </c>
      <c r="AI3">
        <v>7.5</v>
      </c>
      <c r="AJ3" s="1" t="s">
        <v>351</v>
      </c>
      <c r="AK3" s="1" t="s">
        <v>352</v>
      </c>
      <c r="AL3" s="1" t="s">
        <v>353</v>
      </c>
      <c r="AM3" s="1" t="s">
        <v>354</v>
      </c>
      <c r="AN3" s="1" t="s">
        <v>355</v>
      </c>
      <c r="AO3" s="1" t="s">
        <v>356</v>
      </c>
      <c r="AP3" s="3" t="s">
        <v>357</v>
      </c>
      <c r="AQ3" s="1" t="s">
        <v>358</v>
      </c>
      <c r="AR3" s="1" t="s">
        <v>359</v>
      </c>
      <c r="AS3" s="1" t="s">
        <v>360</v>
      </c>
      <c r="AT3" s="5" t="s">
        <v>356</v>
      </c>
      <c r="AU3" s="1" t="s">
        <v>361</v>
      </c>
      <c r="AV3" s="1" t="s">
        <v>362</v>
      </c>
      <c r="AW3" s="1" t="s">
        <v>363</v>
      </c>
      <c r="AX3" s="1" t="s">
        <v>364</v>
      </c>
      <c r="AY3" s="1">
        <f>91-80-1234-5678</f>
        <v>-6901</v>
      </c>
      <c r="AZ3" s="1" t="s">
        <v>365</v>
      </c>
      <c r="BA3" s="1" t="s">
        <v>366</v>
      </c>
      <c r="BB3" s="1" t="s">
        <v>367</v>
      </c>
      <c r="BC3" s="1" t="s">
        <v>368</v>
      </c>
      <c r="BD3" s="1" t="s">
        <v>369</v>
      </c>
      <c r="BE3" s="1" t="s">
        <v>370</v>
      </c>
      <c r="BF3" s="1" t="s">
        <v>371</v>
      </c>
      <c r="BG3" s="1" t="s">
        <v>372</v>
      </c>
      <c r="BH3" s="1" t="s">
        <v>373</v>
      </c>
      <c r="BI3" s="1" t="s">
        <v>374</v>
      </c>
      <c r="BJ3" s="1" t="s">
        <v>375</v>
      </c>
      <c r="BK3" s="1" t="s">
        <v>376</v>
      </c>
      <c r="BL3" s="1" t="s">
        <v>377</v>
      </c>
      <c r="BM3" s="1" t="s">
        <v>378</v>
      </c>
      <c r="BN3" s="1" t="s">
        <v>379</v>
      </c>
      <c r="BO3" s="1" t="s">
        <v>380</v>
      </c>
      <c r="BP3" s="1" t="s">
        <v>381</v>
      </c>
      <c r="BQ3" s="1" t="s">
        <v>382</v>
      </c>
      <c r="BR3" s="1" t="s">
        <v>383</v>
      </c>
      <c r="BS3" s="1" t="s">
        <v>384</v>
      </c>
      <c r="BT3" s="1" t="s">
        <v>385</v>
      </c>
      <c r="BU3" s="1" t="s">
        <v>386</v>
      </c>
      <c r="BV3" s="1" t="s">
        <v>387</v>
      </c>
      <c r="BW3" s="1" t="s">
        <v>388</v>
      </c>
      <c r="BX3" s="1" t="s">
        <v>389</v>
      </c>
      <c r="BY3" s="1" t="s">
        <v>390</v>
      </c>
      <c r="BZ3" s="1" t="s">
        <v>391</v>
      </c>
      <c r="CA3" s="1" t="s">
        <v>392</v>
      </c>
      <c r="CB3" s="1" t="s">
        <v>393</v>
      </c>
      <c r="CC3" s="1" t="s">
        <v>394</v>
      </c>
      <c r="CD3" s="1" t="s">
        <v>395</v>
      </c>
      <c r="CE3" s="1" t="s">
        <v>396</v>
      </c>
      <c r="CF3" s="1" t="s">
        <v>397</v>
      </c>
      <c r="CG3" s="1" t="s">
        <v>398</v>
      </c>
      <c r="CH3" s="1" t="s">
        <v>399</v>
      </c>
      <c r="CI3" s="1" t="s">
        <v>400</v>
      </c>
      <c r="CJ3" s="1" t="s">
        <v>401</v>
      </c>
      <c r="CK3" s="1" t="s">
        <v>402</v>
      </c>
      <c r="CL3" s="1" t="s">
        <v>403</v>
      </c>
      <c r="CM3" s="1" t="s">
        <v>404</v>
      </c>
      <c r="CN3" s="1" t="s">
        <v>405</v>
      </c>
      <c r="CO3" s="1" t="s">
        <v>406</v>
      </c>
      <c r="CP3" s="1" t="s">
        <v>407</v>
      </c>
      <c r="CQ3" s="1" t="s">
        <v>408</v>
      </c>
      <c r="CR3" s="1" t="s">
        <v>409</v>
      </c>
      <c r="CS3" s="1" t="s">
        <v>410</v>
      </c>
      <c r="CT3" s="1" t="s">
        <v>411</v>
      </c>
      <c r="CU3" s="1" t="s">
        <v>412</v>
      </c>
      <c r="CV3" s="1" t="s">
        <v>413</v>
      </c>
      <c r="CW3" s="1" t="s">
        <v>414</v>
      </c>
      <c r="CX3" s="1" t="s">
        <v>415</v>
      </c>
      <c r="CY3" s="1" t="s">
        <v>416</v>
      </c>
      <c r="CZ3" s="1" t="s">
        <v>417</v>
      </c>
      <c r="DA3" s="1" t="s">
        <v>418</v>
      </c>
      <c r="DB3" s="1" t="s">
        <v>419</v>
      </c>
      <c r="DC3" s="1" t="s">
        <v>420</v>
      </c>
      <c r="DD3" s="1" t="s">
        <v>421</v>
      </c>
      <c r="DE3" s="1" t="s">
        <v>422</v>
      </c>
      <c r="DF3" s="1" t="s">
        <v>423</v>
      </c>
      <c r="DG3" s="1" t="s">
        <v>424</v>
      </c>
      <c r="DH3" s="1" t="s">
        <v>425</v>
      </c>
      <c r="DI3" s="1" t="s">
        <v>426</v>
      </c>
      <c r="DJ3" s="1" t="s">
        <v>427</v>
      </c>
      <c r="DK3" s="1" t="s">
        <v>428</v>
      </c>
      <c r="DL3" s="1" t="s">
        <v>429</v>
      </c>
      <c r="DM3" s="1" t="s">
        <v>430</v>
      </c>
      <c r="DN3" s="1" t="s">
        <v>431</v>
      </c>
      <c r="DO3" s="1" t="s">
        <v>432</v>
      </c>
      <c r="DP3" s="1" t="s">
        <v>277</v>
      </c>
      <c r="DQ3" s="1" t="s">
        <v>433</v>
      </c>
      <c r="DR3" s="1" t="s">
        <v>434</v>
      </c>
      <c r="DS3" s="1" t="s">
        <v>435</v>
      </c>
      <c r="DT3" s="1" t="s">
        <v>436</v>
      </c>
      <c r="DU3" s="1" t="s">
        <v>437</v>
      </c>
      <c r="DV3" s="1" t="s">
        <v>438</v>
      </c>
      <c r="DW3" s="1" t="s">
        <v>439</v>
      </c>
      <c r="DX3" s="1" t="s">
        <v>440</v>
      </c>
      <c r="DY3" s="1" t="s">
        <v>441</v>
      </c>
      <c r="DZ3" s="1" t="s">
        <v>442</v>
      </c>
      <c r="EA3" s="1" t="s">
        <v>443</v>
      </c>
      <c r="EB3" s="1" t="s">
        <v>444</v>
      </c>
      <c r="EC3" s="1" t="s">
        <v>445</v>
      </c>
      <c r="ED3" s="1" t="s">
        <v>446</v>
      </c>
      <c r="EE3" s="1" t="s">
        <v>447</v>
      </c>
      <c r="EF3" s="1" t="s">
        <v>448</v>
      </c>
      <c r="EG3" s="1" t="s">
        <v>449</v>
      </c>
      <c r="EH3" s="1" t="s">
        <v>450</v>
      </c>
      <c r="EI3" s="1" t="s">
        <v>451</v>
      </c>
      <c r="EJ3" s="1" t="s">
        <v>452</v>
      </c>
      <c r="EK3" s="1" t="s">
        <v>453</v>
      </c>
      <c r="EL3" s="1" t="s">
        <v>454</v>
      </c>
      <c r="EM3" s="1" t="s">
        <v>455</v>
      </c>
      <c r="EN3" s="1" t="s">
        <v>456</v>
      </c>
      <c r="EO3" s="1" t="s">
        <v>457</v>
      </c>
      <c r="EP3" s="1" t="s">
        <v>458</v>
      </c>
      <c r="EQ3" s="1" t="s">
        <v>459</v>
      </c>
      <c r="ER3" s="1" t="s">
        <v>460</v>
      </c>
      <c r="ES3" s="1" t="s">
        <v>461</v>
      </c>
      <c r="ET3" s="1" t="s">
        <v>462</v>
      </c>
      <c r="EU3" s="1" t="s">
        <v>463</v>
      </c>
      <c r="EV3" s="1" t="s">
        <v>464</v>
      </c>
      <c r="EW3" s="1" t="s">
        <v>465</v>
      </c>
      <c r="EX3" s="1" t="s">
        <v>466</v>
      </c>
      <c r="EY3" s="1" t="s">
        <v>467</v>
      </c>
      <c r="EZ3" s="1" t="s">
        <v>468</v>
      </c>
      <c r="FA3" s="1" t="s">
        <v>469</v>
      </c>
      <c r="FB3" s="1" t="s">
        <v>470</v>
      </c>
      <c r="FC3" s="1" t="s">
        <v>471</v>
      </c>
      <c r="FD3" s="1" t="s">
        <v>472</v>
      </c>
      <c r="FE3" s="1" t="s">
        <v>473</v>
      </c>
      <c r="FF3" s="1" t="s">
        <v>474</v>
      </c>
      <c r="FG3" s="1" t="s">
        <v>475</v>
      </c>
      <c r="FH3" s="1" t="s">
        <v>476</v>
      </c>
    </row>
    <row r="4" spans="1:164" ht="409.6">
      <c r="A4">
        <v>369</v>
      </c>
      <c r="B4" s="1" t="s">
        <v>477</v>
      </c>
      <c r="C4" s="1" t="s">
        <v>478</v>
      </c>
      <c r="D4" s="1" t="s">
        <v>479</v>
      </c>
      <c r="E4" s="1" t="s">
        <v>480</v>
      </c>
      <c r="F4" s="1" t="s">
        <v>481</v>
      </c>
      <c r="G4" s="1" t="s">
        <v>482</v>
      </c>
      <c r="H4" s="1" t="s">
        <v>483</v>
      </c>
      <c r="I4" s="1" t="s">
        <v>484</v>
      </c>
      <c r="J4" s="6" t="s">
        <v>485</v>
      </c>
      <c r="K4" s="1" t="s">
        <v>486</v>
      </c>
      <c r="L4" s="6" t="s">
        <v>487</v>
      </c>
      <c r="M4" s="1" t="s">
        <v>488</v>
      </c>
      <c r="N4" s="1" t="s">
        <v>489</v>
      </c>
      <c r="O4" s="7" t="s">
        <v>490</v>
      </c>
      <c r="P4" s="1" t="s">
        <v>491</v>
      </c>
      <c r="Q4" s="1" t="s">
        <v>492</v>
      </c>
      <c r="R4" s="1" t="s">
        <v>493</v>
      </c>
      <c r="S4" s="1" t="s">
        <v>494</v>
      </c>
      <c r="T4" s="1" t="s">
        <v>495</v>
      </c>
      <c r="U4" s="1" t="s">
        <v>496</v>
      </c>
      <c r="V4" s="1" t="s">
        <v>497</v>
      </c>
      <c r="W4" s="1" t="s">
        <v>498</v>
      </c>
      <c r="X4" s="1" t="s">
        <v>499</v>
      </c>
      <c r="Y4" s="1" t="s">
        <v>500</v>
      </c>
      <c r="Z4" s="1" t="s">
        <v>501</v>
      </c>
      <c r="AA4" s="1" t="s">
        <v>502</v>
      </c>
      <c r="AB4" s="1" t="s">
        <v>503</v>
      </c>
      <c r="AC4" s="1" t="s">
        <v>504</v>
      </c>
      <c r="AD4" s="1" t="s">
        <v>505</v>
      </c>
      <c r="AE4" s="1" t="s">
        <v>506</v>
      </c>
      <c r="AF4" s="1" t="s">
        <v>507</v>
      </c>
      <c r="AG4" s="1" t="s">
        <v>508</v>
      </c>
      <c r="AH4" s="1" t="s">
        <v>509</v>
      </c>
      <c r="AI4">
        <v>7</v>
      </c>
      <c r="AJ4" s="1" t="s">
        <v>510</v>
      </c>
      <c r="AK4" s="1" t="s">
        <v>511</v>
      </c>
      <c r="AL4" s="1" t="s">
        <v>512</v>
      </c>
      <c r="AM4" s="1" t="s">
        <v>513</v>
      </c>
      <c r="AN4" s="1" t="s">
        <v>514</v>
      </c>
      <c r="AO4" s="1" t="s">
        <v>515</v>
      </c>
      <c r="AP4" s="3" t="s">
        <v>516</v>
      </c>
      <c r="AQ4" s="1" t="s">
        <v>517</v>
      </c>
      <c r="AR4" s="1" t="s">
        <v>518</v>
      </c>
      <c r="AS4" s="1" t="s">
        <v>519</v>
      </c>
      <c r="AT4" s="1" t="s">
        <v>520</v>
      </c>
      <c r="AU4" s="1" t="s">
        <v>521</v>
      </c>
      <c r="AV4" s="1" t="s">
        <v>522</v>
      </c>
      <c r="AW4" s="1" t="s">
        <v>523</v>
      </c>
      <c r="AX4" s="1" t="s">
        <v>524</v>
      </c>
      <c r="AY4" s="1" t="s">
        <v>525</v>
      </c>
      <c r="AZ4" s="1" t="s">
        <v>526</v>
      </c>
      <c r="BA4" s="1" t="s">
        <v>368</v>
      </c>
      <c r="BB4" s="1" t="s">
        <v>368</v>
      </c>
      <c r="BC4" s="1" t="s">
        <v>368</v>
      </c>
      <c r="BD4" s="1" t="s">
        <v>527</v>
      </c>
      <c r="BE4" s="1" t="s">
        <v>528</v>
      </c>
      <c r="BF4" s="1" t="s">
        <v>529</v>
      </c>
      <c r="BG4" s="1" t="s">
        <v>530</v>
      </c>
      <c r="BH4" s="1" t="s">
        <v>531</v>
      </c>
      <c r="BI4" s="1" t="s">
        <v>532</v>
      </c>
      <c r="BJ4" s="1" t="s">
        <v>533</v>
      </c>
      <c r="BK4" s="1" t="s">
        <v>534</v>
      </c>
      <c r="BL4" s="1" t="s">
        <v>535</v>
      </c>
      <c r="BM4" s="1" t="s">
        <v>536</v>
      </c>
      <c r="BN4" s="1" t="s">
        <v>537</v>
      </c>
      <c r="BO4" s="1" t="s">
        <v>538</v>
      </c>
      <c r="BP4" s="1" t="s">
        <v>539</v>
      </c>
      <c r="BQ4" s="1" t="s">
        <v>540</v>
      </c>
      <c r="BR4" s="1" t="s">
        <v>541</v>
      </c>
      <c r="BS4" s="1" t="s">
        <v>542</v>
      </c>
      <c r="BT4" s="1" t="s">
        <v>543</v>
      </c>
      <c r="BU4" s="1" t="s">
        <v>544</v>
      </c>
      <c r="BV4" s="1" t="s">
        <v>545</v>
      </c>
      <c r="BW4" s="8" t="s">
        <v>546</v>
      </c>
      <c r="BX4" s="1" t="s">
        <v>547</v>
      </c>
      <c r="BY4" s="1" t="s">
        <v>548</v>
      </c>
      <c r="BZ4" s="1" t="s">
        <v>549</v>
      </c>
      <c r="CA4" s="1" t="s">
        <v>550</v>
      </c>
      <c r="CB4" s="1" t="s">
        <v>551</v>
      </c>
      <c r="CC4" s="1" t="s">
        <v>552</v>
      </c>
      <c r="CD4" s="1" t="s">
        <v>553</v>
      </c>
      <c r="CE4" s="1" t="s">
        <v>554</v>
      </c>
      <c r="CF4" s="1" t="s">
        <v>555</v>
      </c>
      <c r="CG4" s="1" t="s">
        <v>556</v>
      </c>
      <c r="CH4" s="1" t="s">
        <v>557</v>
      </c>
      <c r="CI4" s="1" t="s">
        <v>558</v>
      </c>
      <c r="CJ4" s="1" t="s">
        <v>559</v>
      </c>
      <c r="CK4" s="1" t="s">
        <v>560</v>
      </c>
      <c r="CL4" s="1" t="s">
        <v>561</v>
      </c>
      <c r="CM4" s="1" t="s">
        <v>562</v>
      </c>
      <c r="CN4" s="1" t="s">
        <v>563</v>
      </c>
      <c r="CO4" s="1" t="s">
        <v>564</v>
      </c>
      <c r="CP4" s="1" t="s">
        <v>565</v>
      </c>
      <c r="CQ4" s="1" t="s">
        <v>566</v>
      </c>
      <c r="CR4" s="1" t="s">
        <v>567</v>
      </c>
      <c r="CS4" s="1" t="s">
        <v>568</v>
      </c>
      <c r="CT4" s="1" t="s">
        <v>569</v>
      </c>
      <c r="CU4" s="1" t="s">
        <v>570</v>
      </c>
      <c r="CV4" s="1" t="s">
        <v>571</v>
      </c>
      <c r="CW4" s="1" t="s">
        <v>572</v>
      </c>
      <c r="CX4" s="1" t="s">
        <v>573</v>
      </c>
      <c r="CY4" s="1" t="s">
        <v>574</v>
      </c>
      <c r="CZ4" s="1" t="s">
        <v>575</v>
      </c>
      <c r="DA4" s="1" t="s">
        <v>576</v>
      </c>
      <c r="DB4" s="1" t="s">
        <v>577</v>
      </c>
      <c r="DC4" s="1" t="s">
        <v>578</v>
      </c>
      <c r="DD4" s="1" t="s">
        <v>579</v>
      </c>
      <c r="DE4" s="1" t="s">
        <v>580</v>
      </c>
      <c r="DF4" s="1" t="s">
        <v>581</v>
      </c>
      <c r="DG4" s="1" t="s">
        <v>582</v>
      </c>
      <c r="DH4" s="1" t="s">
        <v>583</v>
      </c>
      <c r="DI4" s="1" t="s">
        <v>584</v>
      </c>
      <c r="DJ4" s="1" t="s">
        <v>295</v>
      </c>
      <c r="DK4" s="1" t="s">
        <v>585</v>
      </c>
      <c r="DL4" s="1" t="s">
        <v>586</v>
      </c>
      <c r="DM4" s="1" t="s">
        <v>587</v>
      </c>
      <c r="DN4" s="1" t="s">
        <v>588</v>
      </c>
      <c r="DO4" s="1" t="s">
        <v>589</v>
      </c>
      <c r="DP4" s="1" t="s">
        <v>590</v>
      </c>
      <c r="DQ4" s="1" t="s">
        <v>591</v>
      </c>
      <c r="DR4" s="1" t="s">
        <v>592</v>
      </c>
      <c r="DS4" s="1" t="s">
        <v>593</v>
      </c>
      <c r="DT4" s="1" t="s">
        <v>594</v>
      </c>
      <c r="DU4" s="1" t="s">
        <v>595</v>
      </c>
      <c r="DV4" s="1" t="s">
        <v>596</v>
      </c>
      <c r="DW4" s="1" t="s">
        <v>597</v>
      </c>
      <c r="DX4" s="1" t="s">
        <v>598</v>
      </c>
      <c r="DY4" s="1" t="s">
        <v>599</v>
      </c>
      <c r="DZ4" s="1" t="s">
        <v>600</v>
      </c>
      <c r="EA4" s="1" t="s">
        <v>601</v>
      </c>
      <c r="EB4" s="1" t="s">
        <v>602</v>
      </c>
      <c r="EC4" s="1" t="s">
        <v>603</v>
      </c>
      <c r="ED4" s="1" t="s">
        <v>604</v>
      </c>
      <c r="EE4" s="1" t="s">
        <v>605</v>
      </c>
      <c r="EF4" s="1" t="s">
        <v>606</v>
      </c>
      <c r="EG4" s="1" t="s">
        <v>607</v>
      </c>
      <c r="EH4" s="1" t="s">
        <v>295</v>
      </c>
      <c r="EI4" s="1" t="s">
        <v>608</v>
      </c>
      <c r="EJ4" s="1" t="s">
        <v>609</v>
      </c>
      <c r="EK4" s="1" t="s">
        <v>610</v>
      </c>
      <c r="EL4" s="1" t="s">
        <v>611</v>
      </c>
      <c r="EM4" s="1" t="s">
        <v>612</v>
      </c>
      <c r="EN4" s="1" t="s">
        <v>613</v>
      </c>
      <c r="EO4" s="1" t="s">
        <v>295</v>
      </c>
      <c r="EP4" s="1" t="s">
        <v>614</v>
      </c>
      <c r="EQ4" s="1" t="s">
        <v>615</v>
      </c>
      <c r="ER4" s="1" t="s">
        <v>616</v>
      </c>
      <c r="ES4" s="1" t="s">
        <v>617</v>
      </c>
      <c r="ET4" s="1" t="s">
        <v>618</v>
      </c>
      <c r="EU4" s="1" t="s">
        <v>619</v>
      </c>
      <c r="EV4" s="1" t="s">
        <v>295</v>
      </c>
      <c r="EW4" s="1" t="s">
        <v>620</v>
      </c>
      <c r="EX4" s="1" t="s">
        <v>621</v>
      </c>
      <c r="EY4" s="1" t="s">
        <v>622</v>
      </c>
      <c r="EZ4" s="1" t="s">
        <v>623</v>
      </c>
      <c r="FA4" s="1" t="s">
        <v>624</v>
      </c>
      <c r="FB4" s="1" t="s">
        <v>625</v>
      </c>
      <c r="FC4" s="1" t="s">
        <v>626</v>
      </c>
      <c r="FD4" s="1" t="s">
        <v>627</v>
      </c>
      <c r="FE4" s="1" t="s">
        <v>628</v>
      </c>
      <c r="FF4" s="1" t="s">
        <v>629</v>
      </c>
      <c r="FG4" s="1" t="s">
        <v>630</v>
      </c>
      <c r="FH4" s="1" t="s">
        <v>631</v>
      </c>
    </row>
    <row r="5" spans="1:164">
      <c r="A5">
        <v>370</v>
      </c>
      <c r="B5" t="s">
        <v>632</v>
      </c>
      <c r="C5" t="s">
        <v>633</v>
      </c>
      <c r="D5" t="s">
        <v>634</v>
      </c>
      <c r="E5" t="s">
        <v>635</v>
      </c>
      <c r="F5">
        <v>2020</v>
      </c>
      <c r="G5" t="s">
        <v>636</v>
      </c>
      <c r="H5" t="s">
        <v>325</v>
      </c>
      <c r="I5" t="s">
        <v>637</v>
      </c>
      <c r="J5" s="9" t="s">
        <v>638</v>
      </c>
      <c r="K5">
        <v>3</v>
      </c>
      <c r="L5" s="9" t="s">
        <v>639</v>
      </c>
      <c r="M5" t="s">
        <v>640</v>
      </c>
      <c r="N5" t="s">
        <v>641</v>
      </c>
      <c r="O5" t="s">
        <v>642</v>
      </c>
      <c r="P5" t="s">
        <v>643</v>
      </c>
      <c r="Q5" t="s">
        <v>644</v>
      </c>
      <c r="R5" t="s">
        <v>645</v>
      </c>
      <c r="S5" t="s">
        <v>646</v>
      </c>
      <c r="T5" t="s">
        <v>647</v>
      </c>
      <c r="U5" t="s">
        <v>648</v>
      </c>
      <c r="V5" t="s">
        <v>649</v>
      </c>
      <c r="W5" t="s">
        <v>650</v>
      </c>
      <c r="X5" t="s">
        <v>651</v>
      </c>
      <c r="Y5" t="s">
        <v>652</v>
      </c>
      <c r="Z5" t="s">
        <v>653</v>
      </c>
      <c r="AA5" t="s">
        <v>654</v>
      </c>
      <c r="AB5" t="s">
        <v>655</v>
      </c>
      <c r="AC5" t="s">
        <v>656</v>
      </c>
      <c r="AD5" t="s">
        <v>657</v>
      </c>
      <c r="AE5" t="s">
        <v>658</v>
      </c>
      <c r="AF5" t="s">
        <v>659</v>
      </c>
      <c r="AG5" t="s">
        <v>660</v>
      </c>
      <c r="AH5" t="s">
        <v>661</v>
      </c>
      <c r="AI5">
        <v>8.5</v>
      </c>
      <c r="AJ5" t="s">
        <v>662</v>
      </c>
      <c r="AK5" t="s">
        <v>663</v>
      </c>
      <c r="AL5" t="s">
        <v>664</v>
      </c>
      <c r="AM5" t="s">
        <v>665</v>
      </c>
      <c r="AN5" t="s">
        <v>666</v>
      </c>
      <c r="AO5" t="s">
        <v>667</v>
      </c>
      <c r="AP5" s="3" t="s">
        <v>668</v>
      </c>
      <c r="AQ5" t="s">
        <v>669</v>
      </c>
      <c r="AR5" t="s">
        <v>670</v>
      </c>
      <c r="AS5" t="s">
        <v>671</v>
      </c>
      <c r="AT5" t="s">
        <v>672</v>
      </c>
      <c r="AU5" t="s">
        <v>673</v>
      </c>
      <c r="AV5" t="s">
        <v>674</v>
      </c>
      <c r="AW5" t="s">
        <v>675</v>
      </c>
      <c r="AX5" t="s">
        <v>676</v>
      </c>
      <c r="AY5">
        <v>-10090</v>
      </c>
      <c r="AZ5" t="s">
        <v>671</v>
      </c>
      <c r="BA5" t="s">
        <v>366</v>
      </c>
      <c r="BB5" t="s">
        <v>677</v>
      </c>
      <c r="BC5" t="s">
        <v>368</v>
      </c>
      <c r="BD5" t="s">
        <v>678</v>
      </c>
      <c r="BE5" t="s">
        <v>679</v>
      </c>
      <c r="BF5" t="s">
        <v>680</v>
      </c>
      <c r="BG5" t="s">
        <v>681</v>
      </c>
      <c r="BH5" t="s">
        <v>682</v>
      </c>
      <c r="BI5" t="s">
        <v>683</v>
      </c>
      <c r="BJ5" t="s">
        <v>684</v>
      </c>
      <c r="BK5" t="s">
        <v>685</v>
      </c>
      <c r="BL5" t="s">
        <v>686</v>
      </c>
      <c r="BM5" t="s">
        <v>687</v>
      </c>
      <c r="BN5" t="s">
        <v>688</v>
      </c>
      <c r="BO5" t="s">
        <v>689</v>
      </c>
      <c r="BP5" t="s">
        <v>690</v>
      </c>
      <c r="BQ5" t="s">
        <v>691</v>
      </c>
      <c r="BR5" t="s">
        <v>692</v>
      </c>
      <c r="BS5" t="s">
        <v>693</v>
      </c>
      <c r="BT5" t="s">
        <v>694</v>
      </c>
      <c r="BU5" t="s">
        <v>695</v>
      </c>
      <c r="BV5" t="s">
        <v>611</v>
      </c>
      <c r="BW5">
        <v>7.8703703703703705E-4</v>
      </c>
      <c r="BX5">
        <v>0.08</v>
      </c>
      <c r="BY5">
        <v>60</v>
      </c>
      <c r="BZ5" t="s">
        <v>696</v>
      </c>
      <c r="CA5" t="s">
        <v>697</v>
      </c>
      <c r="CB5" t="s">
        <v>698</v>
      </c>
      <c r="CC5" t="s">
        <v>699</v>
      </c>
      <c r="CD5" t="s">
        <v>700</v>
      </c>
      <c r="CE5" t="s">
        <v>701</v>
      </c>
      <c r="CF5" t="s">
        <v>702</v>
      </c>
      <c r="CG5" t="s">
        <v>703</v>
      </c>
      <c r="CH5" t="s">
        <v>704</v>
      </c>
      <c r="CI5" t="s">
        <v>705</v>
      </c>
      <c r="CJ5" t="s">
        <v>706</v>
      </c>
      <c r="CK5" t="s">
        <v>707</v>
      </c>
      <c r="CL5" t="s">
        <v>708</v>
      </c>
      <c r="CM5" t="s">
        <v>709</v>
      </c>
      <c r="CN5" t="s">
        <v>710</v>
      </c>
      <c r="CO5" t="s">
        <v>711</v>
      </c>
      <c r="CP5" t="s">
        <v>712</v>
      </c>
      <c r="CQ5" t="s">
        <v>713</v>
      </c>
      <c r="CR5" t="s">
        <v>714</v>
      </c>
      <c r="CS5" t="s">
        <v>715</v>
      </c>
      <c r="CT5" t="s">
        <v>716</v>
      </c>
      <c r="CU5" t="s">
        <v>717</v>
      </c>
      <c r="CV5" t="s">
        <v>718</v>
      </c>
      <c r="CW5" t="s">
        <v>719</v>
      </c>
      <c r="CX5" t="s">
        <v>720</v>
      </c>
      <c r="CY5" t="s">
        <v>721</v>
      </c>
      <c r="CZ5" t="s">
        <v>722</v>
      </c>
      <c r="DA5" t="s">
        <v>723</v>
      </c>
      <c r="DB5" t="s">
        <v>724</v>
      </c>
      <c r="DC5" t="s">
        <v>725</v>
      </c>
      <c r="DD5" t="s">
        <v>726</v>
      </c>
      <c r="DE5" t="s">
        <v>727</v>
      </c>
      <c r="DF5" t="s">
        <v>728</v>
      </c>
      <c r="DG5" t="s">
        <v>729</v>
      </c>
      <c r="DH5" t="s">
        <v>730</v>
      </c>
      <c r="DI5" t="s">
        <v>731</v>
      </c>
      <c r="DJ5" t="s">
        <v>732</v>
      </c>
      <c r="DK5" t="s">
        <v>733</v>
      </c>
      <c r="DL5" t="s">
        <v>734</v>
      </c>
      <c r="DM5" t="s">
        <v>735</v>
      </c>
      <c r="DN5" t="s">
        <v>736</v>
      </c>
      <c r="DO5" t="s">
        <v>737</v>
      </c>
      <c r="DP5" t="s">
        <v>738</v>
      </c>
      <c r="DQ5" t="s">
        <v>739</v>
      </c>
      <c r="DR5" t="s">
        <v>740</v>
      </c>
      <c r="DS5" t="s">
        <v>741</v>
      </c>
      <c r="DT5" t="s">
        <v>742</v>
      </c>
      <c r="DU5" t="s">
        <v>743</v>
      </c>
      <c r="DV5" t="s">
        <v>744</v>
      </c>
      <c r="DW5" t="s">
        <v>744</v>
      </c>
      <c r="DX5" t="s">
        <v>745</v>
      </c>
      <c r="DY5" t="s">
        <v>746</v>
      </c>
      <c r="DZ5" t="s">
        <v>747</v>
      </c>
      <c r="EA5" t="s">
        <v>748</v>
      </c>
      <c r="EB5" t="s">
        <v>749</v>
      </c>
      <c r="EC5" t="s">
        <v>750</v>
      </c>
      <c r="ED5" t="s">
        <v>751</v>
      </c>
      <c r="EE5" t="s">
        <v>752</v>
      </c>
      <c r="EF5" t="s">
        <v>753</v>
      </c>
      <c r="EG5" t="s">
        <v>754</v>
      </c>
      <c r="EH5" t="s">
        <v>295</v>
      </c>
      <c r="EI5" t="s">
        <v>755</v>
      </c>
      <c r="EJ5" t="s">
        <v>756</v>
      </c>
      <c r="EK5" t="s">
        <v>757</v>
      </c>
      <c r="EL5" t="s">
        <v>758</v>
      </c>
      <c r="EM5" t="s">
        <v>759</v>
      </c>
      <c r="EN5" t="s">
        <v>760</v>
      </c>
      <c r="EO5" t="s">
        <v>761</v>
      </c>
      <c r="EP5" t="s">
        <v>762</v>
      </c>
      <c r="EQ5" t="s">
        <v>763</v>
      </c>
      <c r="ER5" t="s">
        <v>764</v>
      </c>
      <c r="ES5" t="s">
        <v>765</v>
      </c>
      <c r="ET5" t="s">
        <v>766</v>
      </c>
      <c r="EU5" t="s">
        <v>767</v>
      </c>
      <c r="EV5" t="s">
        <v>295</v>
      </c>
      <c r="EW5" t="s">
        <v>768</v>
      </c>
      <c r="EX5" t="s">
        <v>769</v>
      </c>
      <c r="EY5" t="s">
        <v>770</v>
      </c>
      <c r="EZ5" t="s">
        <v>771</v>
      </c>
      <c r="FA5" t="s">
        <v>772</v>
      </c>
      <c r="FB5" t="s">
        <v>773</v>
      </c>
      <c r="FC5" t="s">
        <v>774</v>
      </c>
      <c r="FD5" t="s">
        <v>775</v>
      </c>
      <c r="FE5" t="s">
        <v>776</v>
      </c>
      <c r="FF5" t="s">
        <v>777</v>
      </c>
      <c r="FG5" t="s">
        <v>778</v>
      </c>
      <c r="FH5" t="s">
        <v>779</v>
      </c>
    </row>
    <row r="6" spans="1:164" ht="409.6">
      <c r="A6">
        <v>371</v>
      </c>
      <c r="B6" s="1" t="s">
        <v>780</v>
      </c>
      <c r="C6" s="1" t="s">
        <v>781</v>
      </c>
      <c r="D6" s="1" t="s">
        <v>782</v>
      </c>
      <c r="E6" s="1" t="s">
        <v>783</v>
      </c>
      <c r="F6" s="1">
        <v>2009</v>
      </c>
      <c r="G6" s="1" t="s">
        <v>784</v>
      </c>
      <c r="H6" s="1" t="s">
        <v>785</v>
      </c>
      <c r="I6" s="1" t="s">
        <v>786</v>
      </c>
      <c r="J6" s="6" t="s">
        <v>787</v>
      </c>
      <c r="K6" s="1">
        <v>10</v>
      </c>
      <c r="L6" s="6" t="s">
        <v>788</v>
      </c>
      <c r="M6" s="1" t="s">
        <v>789</v>
      </c>
      <c r="N6" s="1" t="s">
        <v>790</v>
      </c>
      <c r="O6" s="1" t="s">
        <v>791</v>
      </c>
      <c r="P6" s="1" t="s">
        <v>792</v>
      </c>
      <c r="Q6" s="1" t="s">
        <v>793</v>
      </c>
      <c r="R6" s="1" t="s">
        <v>794</v>
      </c>
      <c r="S6" s="1" t="s">
        <v>795</v>
      </c>
      <c r="T6" s="1" t="s">
        <v>796</v>
      </c>
      <c r="U6" s="1" t="s">
        <v>797</v>
      </c>
      <c r="V6" s="1" t="s">
        <v>798</v>
      </c>
      <c r="W6" s="1" t="s">
        <v>799</v>
      </c>
      <c r="X6" s="1" t="s">
        <v>800</v>
      </c>
      <c r="Y6" s="1" t="s">
        <v>801</v>
      </c>
      <c r="Z6" s="1" t="s">
        <v>802</v>
      </c>
      <c r="AA6" s="1" t="s">
        <v>803</v>
      </c>
      <c r="AB6" s="1" t="s">
        <v>804</v>
      </c>
      <c r="AC6" s="1" t="s">
        <v>805</v>
      </c>
      <c r="AD6" s="1" t="s">
        <v>806</v>
      </c>
      <c r="AE6" s="1" t="s">
        <v>807</v>
      </c>
      <c r="AF6" s="1" t="s">
        <v>808</v>
      </c>
      <c r="AG6" s="1" t="s">
        <v>809</v>
      </c>
      <c r="AH6" s="1" t="s">
        <v>810</v>
      </c>
      <c r="AI6">
        <v>8.5</v>
      </c>
      <c r="AJ6" s="1" t="s">
        <v>811</v>
      </c>
      <c r="AK6" s="1" t="s">
        <v>812</v>
      </c>
      <c r="AL6" s="1" t="s">
        <v>813</v>
      </c>
      <c r="AM6" s="1" t="s">
        <v>814</v>
      </c>
      <c r="AN6" s="1" t="s">
        <v>815</v>
      </c>
      <c r="AO6" s="1" t="s">
        <v>816</v>
      </c>
      <c r="AP6" s="3" t="s">
        <v>817</v>
      </c>
      <c r="AQ6" s="1" t="s">
        <v>818</v>
      </c>
      <c r="AR6" s="1" t="s">
        <v>819</v>
      </c>
      <c r="AS6" s="1" t="s">
        <v>820</v>
      </c>
      <c r="AT6" s="1" t="s">
        <v>821</v>
      </c>
      <c r="AU6" s="1" t="s">
        <v>822</v>
      </c>
      <c r="AV6" s="1" t="s">
        <v>823</v>
      </c>
      <c r="AW6" s="1" t="s">
        <v>824</v>
      </c>
      <c r="AX6" s="1" t="s">
        <v>825</v>
      </c>
      <c r="AY6" s="1" t="s">
        <v>826</v>
      </c>
      <c r="AZ6" s="1" t="s">
        <v>211</v>
      </c>
      <c r="BA6" s="1" t="s">
        <v>827</v>
      </c>
      <c r="BB6" s="1" t="s">
        <v>828</v>
      </c>
      <c r="BC6" s="1" t="s">
        <v>213</v>
      </c>
      <c r="BD6" s="1" t="s">
        <v>829</v>
      </c>
      <c r="BE6" s="1" t="s">
        <v>830</v>
      </c>
      <c r="BF6" s="1" t="s">
        <v>831</v>
      </c>
      <c r="BG6" s="1" t="s">
        <v>832</v>
      </c>
      <c r="BH6" s="1" t="s">
        <v>833</v>
      </c>
      <c r="BI6" s="1" t="s">
        <v>834</v>
      </c>
      <c r="BJ6" s="1" t="s">
        <v>835</v>
      </c>
      <c r="BK6" s="1" t="s">
        <v>836</v>
      </c>
      <c r="BL6" s="1" t="s">
        <v>837</v>
      </c>
      <c r="BM6" s="1" t="s">
        <v>838</v>
      </c>
      <c r="BN6" s="1" t="s">
        <v>839</v>
      </c>
      <c r="BO6" s="1" t="s">
        <v>840</v>
      </c>
      <c r="BP6" s="1" t="s">
        <v>841</v>
      </c>
      <c r="BQ6" s="1" t="s">
        <v>842</v>
      </c>
      <c r="BR6" s="1" t="s">
        <v>843</v>
      </c>
      <c r="BS6" s="1" t="s">
        <v>844</v>
      </c>
      <c r="BT6" s="1" t="s">
        <v>845</v>
      </c>
      <c r="BU6" s="1" t="s">
        <v>846</v>
      </c>
      <c r="BV6" s="1" t="s">
        <v>847</v>
      </c>
      <c r="BW6" s="8">
        <v>0.05</v>
      </c>
      <c r="BX6" s="1" t="s">
        <v>848</v>
      </c>
      <c r="BY6" s="1" t="s">
        <v>849</v>
      </c>
      <c r="BZ6" s="1" t="s">
        <v>850</v>
      </c>
      <c r="CA6" s="1" t="s">
        <v>851</v>
      </c>
      <c r="CB6" s="1" t="s">
        <v>852</v>
      </c>
      <c r="CC6" s="1" t="s">
        <v>238</v>
      </c>
      <c r="CD6" s="1" t="s">
        <v>853</v>
      </c>
      <c r="CE6" s="1" t="s">
        <v>854</v>
      </c>
      <c r="CF6" s="1" t="s">
        <v>855</v>
      </c>
      <c r="CG6" s="1" t="s">
        <v>856</v>
      </c>
      <c r="CH6" s="1" t="s">
        <v>857</v>
      </c>
      <c r="CI6" s="1" t="s">
        <v>858</v>
      </c>
      <c r="CJ6" s="1" t="s">
        <v>859</v>
      </c>
      <c r="CK6" s="1" t="s">
        <v>860</v>
      </c>
      <c r="CL6" s="1" t="s">
        <v>861</v>
      </c>
      <c r="CM6" s="1" t="s">
        <v>862</v>
      </c>
      <c r="CN6" s="1" t="s">
        <v>863</v>
      </c>
      <c r="CO6" s="1" t="s">
        <v>864</v>
      </c>
      <c r="CP6" s="1" t="s">
        <v>865</v>
      </c>
      <c r="CQ6" s="1" t="s">
        <v>866</v>
      </c>
      <c r="CR6" s="1" t="s">
        <v>867</v>
      </c>
      <c r="CS6" s="1" t="s">
        <v>868</v>
      </c>
      <c r="CT6" s="1" t="s">
        <v>869</v>
      </c>
      <c r="CU6" s="1" t="s">
        <v>870</v>
      </c>
      <c r="CV6" s="1" t="s">
        <v>871</v>
      </c>
      <c r="CW6" s="1" t="s">
        <v>872</v>
      </c>
      <c r="CX6" s="1" t="s">
        <v>873</v>
      </c>
      <c r="CY6" s="1" t="s">
        <v>874</v>
      </c>
      <c r="CZ6" s="1" t="s">
        <v>875</v>
      </c>
      <c r="DA6" s="1" t="s">
        <v>876</v>
      </c>
      <c r="DB6" s="1" t="s">
        <v>877</v>
      </c>
      <c r="DC6" s="1" t="s">
        <v>878</v>
      </c>
      <c r="DD6" s="1" t="s">
        <v>879</v>
      </c>
      <c r="DE6" s="1" t="s">
        <v>880</v>
      </c>
      <c r="DF6" s="1" t="s">
        <v>881</v>
      </c>
      <c r="DG6" s="1" t="s">
        <v>882</v>
      </c>
      <c r="DH6" s="1" t="s">
        <v>883</v>
      </c>
      <c r="DI6" s="1" t="s">
        <v>884</v>
      </c>
      <c r="DJ6" s="1" t="s">
        <v>885</v>
      </c>
      <c r="DK6" s="1" t="s">
        <v>886</v>
      </c>
      <c r="DL6" s="1" t="s">
        <v>887</v>
      </c>
      <c r="DM6" s="1" t="s">
        <v>888</v>
      </c>
      <c r="DN6" s="1" t="s">
        <v>889</v>
      </c>
      <c r="DO6" s="1" t="s">
        <v>890</v>
      </c>
      <c r="DP6" s="1" t="s">
        <v>891</v>
      </c>
      <c r="DQ6" s="1" t="s">
        <v>892</v>
      </c>
      <c r="DR6" s="1" t="s">
        <v>893</v>
      </c>
      <c r="DS6" s="1" t="s">
        <v>894</v>
      </c>
      <c r="DT6" s="1" t="s">
        <v>895</v>
      </c>
      <c r="DU6" s="1" t="s">
        <v>896</v>
      </c>
      <c r="DV6" s="1" t="s">
        <v>897</v>
      </c>
      <c r="DW6" s="1" t="s">
        <v>898</v>
      </c>
      <c r="DX6" s="1" t="s">
        <v>899</v>
      </c>
      <c r="DY6" s="1" t="s">
        <v>900</v>
      </c>
      <c r="DZ6" s="1" t="s">
        <v>901</v>
      </c>
      <c r="EA6" s="1" t="s">
        <v>902</v>
      </c>
      <c r="EB6" s="1" t="s">
        <v>903</v>
      </c>
      <c r="EC6" s="1" t="s">
        <v>904</v>
      </c>
      <c r="ED6" s="1" t="s">
        <v>905</v>
      </c>
      <c r="EE6" s="1" t="s">
        <v>906</v>
      </c>
      <c r="EF6" s="1" t="s">
        <v>907</v>
      </c>
      <c r="EG6" s="1" t="s">
        <v>908</v>
      </c>
      <c r="EH6" s="1" t="s">
        <v>909</v>
      </c>
      <c r="EI6" s="1" t="s">
        <v>910</v>
      </c>
      <c r="EJ6" s="1" t="s">
        <v>911</v>
      </c>
      <c r="EK6" s="1" t="s">
        <v>912</v>
      </c>
      <c r="EL6" s="1" t="s">
        <v>913</v>
      </c>
      <c r="EM6" s="1" t="s">
        <v>914</v>
      </c>
      <c r="EN6" s="1" t="s">
        <v>915</v>
      </c>
      <c r="EO6" s="1" t="s">
        <v>916</v>
      </c>
      <c r="EP6" s="1" t="s">
        <v>917</v>
      </c>
      <c r="EQ6" s="1" t="s">
        <v>918</v>
      </c>
      <c r="ER6" s="1" t="s">
        <v>919</v>
      </c>
      <c r="ES6" s="1" t="s">
        <v>920</v>
      </c>
      <c r="ET6" s="1" t="s">
        <v>921</v>
      </c>
      <c r="EU6" s="1" t="s">
        <v>922</v>
      </c>
      <c r="EV6" s="1" t="s">
        <v>307</v>
      </c>
      <c r="EW6" s="1" t="s">
        <v>923</v>
      </c>
      <c r="EX6" s="1" t="s">
        <v>924</v>
      </c>
      <c r="EY6" s="1" t="s">
        <v>925</v>
      </c>
      <c r="EZ6" s="1" t="s">
        <v>926</v>
      </c>
      <c r="FA6" s="1" t="s">
        <v>927</v>
      </c>
      <c r="FB6" s="1" t="s">
        <v>928</v>
      </c>
      <c r="FC6" s="1" t="s">
        <v>929</v>
      </c>
      <c r="FD6" s="1" t="s">
        <v>930</v>
      </c>
      <c r="FE6" s="1" t="s">
        <v>931</v>
      </c>
      <c r="FF6" s="1" t="s">
        <v>932</v>
      </c>
      <c r="FG6" s="1" t="s">
        <v>933</v>
      </c>
      <c r="FH6" s="1" t="s">
        <v>934</v>
      </c>
    </row>
    <row r="7" spans="1:164" ht="409.6">
      <c r="A7">
        <v>372</v>
      </c>
      <c r="B7" s="1" t="s">
        <v>935</v>
      </c>
      <c r="C7" s="1" t="s">
        <v>936</v>
      </c>
      <c r="D7" s="1" t="s">
        <v>937</v>
      </c>
      <c r="E7" s="1" t="s">
        <v>938</v>
      </c>
      <c r="F7" s="1" t="s">
        <v>939</v>
      </c>
      <c r="G7" s="1" t="s">
        <v>940</v>
      </c>
      <c r="H7" s="1" t="s">
        <v>941</v>
      </c>
      <c r="I7" s="1" t="s">
        <v>942</v>
      </c>
      <c r="J7" s="4" t="s">
        <v>943</v>
      </c>
      <c r="K7" s="1" t="s">
        <v>944</v>
      </c>
      <c r="L7" s="4" t="s">
        <v>945</v>
      </c>
      <c r="M7" s="1" t="s">
        <v>946</v>
      </c>
      <c r="N7" s="1" t="s">
        <v>947</v>
      </c>
      <c r="O7" s="1" t="s">
        <v>948</v>
      </c>
      <c r="P7" s="1" t="s">
        <v>949</v>
      </c>
      <c r="Q7" s="1" t="s">
        <v>950</v>
      </c>
      <c r="R7" s="1" t="s">
        <v>951</v>
      </c>
      <c r="S7" s="1" t="s">
        <v>952</v>
      </c>
      <c r="T7" s="1" t="s">
        <v>953</v>
      </c>
      <c r="U7" s="1" t="s">
        <v>954</v>
      </c>
      <c r="V7" s="1" t="s">
        <v>955</v>
      </c>
      <c r="W7" s="1" t="s">
        <v>956</v>
      </c>
      <c r="X7" s="1" t="s">
        <v>957</v>
      </c>
      <c r="Y7" s="1" t="s">
        <v>958</v>
      </c>
      <c r="Z7" s="1" t="s">
        <v>959</v>
      </c>
      <c r="AA7" s="1" t="s">
        <v>960</v>
      </c>
      <c r="AB7" s="1" t="s">
        <v>961</v>
      </c>
      <c r="AC7" s="1" t="s">
        <v>962</v>
      </c>
      <c r="AD7" s="1" t="s">
        <v>963</v>
      </c>
      <c r="AE7" s="1" t="s">
        <v>964</v>
      </c>
      <c r="AF7" s="1" t="s">
        <v>965</v>
      </c>
      <c r="AG7" s="1" t="s">
        <v>966</v>
      </c>
      <c r="AH7" s="1" t="s">
        <v>967</v>
      </c>
      <c r="AI7">
        <v>9</v>
      </c>
      <c r="AJ7" s="1" t="s">
        <v>968</v>
      </c>
      <c r="AK7" s="1" t="s">
        <v>969</v>
      </c>
      <c r="AL7" s="1" t="s">
        <v>970</v>
      </c>
      <c r="AM7" s="1" t="s">
        <v>971</v>
      </c>
      <c r="AN7" s="1" t="s">
        <v>665</v>
      </c>
      <c r="AO7" s="1" t="s">
        <v>972</v>
      </c>
      <c r="AP7" s="3" t="s">
        <v>973</v>
      </c>
      <c r="AQ7" s="1" t="s">
        <v>974</v>
      </c>
      <c r="AR7" s="1" t="s">
        <v>975</v>
      </c>
      <c r="AS7" s="1" t="s">
        <v>976</v>
      </c>
      <c r="AT7" s="1" t="s">
        <v>977</v>
      </c>
      <c r="AU7" s="1" t="s">
        <v>978</v>
      </c>
      <c r="AV7" s="1" t="s">
        <v>979</v>
      </c>
      <c r="AW7" s="1" t="s">
        <v>980</v>
      </c>
      <c r="AX7" s="1" t="s">
        <v>981</v>
      </c>
      <c r="AY7" s="1" t="s">
        <v>982</v>
      </c>
      <c r="AZ7" s="1" t="s">
        <v>983</v>
      </c>
      <c r="BA7" s="1" t="s">
        <v>368</v>
      </c>
      <c r="BB7" s="1" t="s">
        <v>368</v>
      </c>
      <c r="BC7" s="1" t="s">
        <v>368</v>
      </c>
      <c r="BD7" s="1" t="s">
        <v>984</v>
      </c>
      <c r="BE7" s="1" t="s">
        <v>985</v>
      </c>
      <c r="BF7" s="1" t="s">
        <v>986</v>
      </c>
      <c r="BG7" s="1" t="s">
        <v>987</v>
      </c>
      <c r="BH7" s="1" t="s">
        <v>988</v>
      </c>
      <c r="BI7" s="1" t="s">
        <v>989</v>
      </c>
      <c r="BJ7" s="1" t="s">
        <v>990</v>
      </c>
      <c r="BK7" s="1" t="s">
        <v>991</v>
      </c>
      <c r="BL7" s="1" t="s">
        <v>992</v>
      </c>
      <c r="BM7" s="1" t="s">
        <v>993</v>
      </c>
      <c r="BN7" s="1" t="s">
        <v>994</v>
      </c>
      <c r="BO7" s="1" t="s">
        <v>995</v>
      </c>
      <c r="BP7" s="1" t="s">
        <v>996</v>
      </c>
      <c r="BQ7" s="1" t="s">
        <v>997</v>
      </c>
      <c r="BR7" s="1" t="s">
        <v>998</v>
      </c>
      <c r="BS7" s="1" t="s">
        <v>999</v>
      </c>
      <c r="BT7" s="1" t="s">
        <v>1000</v>
      </c>
      <c r="BU7" s="1" t="s">
        <v>1001</v>
      </c>
      <c r="BV7" s="1" t="s">
        <v>1002</v>
      </c>
      <c r="BW7" s="8">
        <v>0.70902777777777781</v>
      </c>
      <c r="BX7" s="1" t="s">
        <v>1003</v>
      </c>
      <c r="BY7" s="1">
        <v>60</v>
      </c>
      <c r="BZ7" s="1" t="s">
        <v>1004</v>
      </c>
      <c r="CA7" s="1" t="s">
        <v>1005</v>
      </c>
      <c r="CB7" s="1" t="s">
        <v>1006</v>
      </c>
      <c r="CC7" s="1" t="s">
        <v>1006</v>
      </c>
      <c r="CD7" s="1" t="s">
        <v>1007</v>
      </c>
      <c r="CE7" s="1" t="s">
        <v>1008</v>
      </c>
      <c r="CF7" s="1" t="s">
        <v>1009</v>
      </c>
      <c r="CG7" s="1" t="s">
        <v>1010</v>
      </c>
      <c r="CH7" s="1" t="s">
        <v>1011</v>
      </c>
      <c r="CI7" s="1" t="s">
        <v>1012</v>
      </c>
      <c r="CJ7" s="1" t="s">
        <v>1013</v>
      </c>
      <c r="CK7" s="1" t="s">
        <v>1014</v>
      </c>
      <c r="CL7" s="1" t="s">
        <v>1015</v>
      </c>
      <c r="CM7" s="1" t="s">
        <v>1016</v>
      </c>
      <c r="CN7" s="1" t="s">
        <v>1017</v>
      </c>
      <c r="CO7" s="1" t="s">
        <v>1018</v>
      </c>
      <c r="CP7" s="1" t="s">
        <v>1019</v>
      </c>
      <c r="CQ7" s="1" t="s">
        <v>1020</v>
      </c>
      <c r="CR7" s="1" t="s">
        <v>1021</v>
      </c>
      <c r="CS7" s="1" t="s">
        <v>1022</v>
      </c>
      <c r="CT7" s="1" t="s">
        <v>1023</v>
      </c>
      <c r="CU7" s="1" t="s">
        <v>1024</v>
      </c>
      <c r="CV7" s="1" t="s">
        <v>1025</v>
      </c>
      <c r="CW7" s="1" t="s">
        <v>1026</v>
      </c>
      <c r="CX7" s="1" t="s">
        <v>1027</v>
      </c>
      <c r="CY7" s="1" t="s">
        <v>1028</v>
      </c>
      <c r="CZ7" s="1" t="s">
        <v>1029</v>
      </c>
      <c r="DA7" s="1" t="s">
        <v>1030</v>
      </c>
      <c r="DB7" s="1" t="s">
        <v>1031</v>
      </c>
      <c r="DC7" s="1" t="s">
        <v>1032</v>
      </c>
      <c r="DD7" s="1" t="s">
        <v>1033</v>
      </c>
      <c r="DE7" s="1" t="s">
        <v>1034</v>
      </c>
      <c r="DF7" s="1" t="s">
        <v>1035</v>
      </c>
      <c r="DG7" s="1" t="s">
        <v>1036</v>
      </c>
      <c r="DH7" s="1" t="s">
        <v>1037</v>
      </c>
      <c r="DI7" s="1" t="s">
        <v>1038</v>
      </c>
      <c r="DJ7" s="1" t="s">
        <v>1039</v>
      </c>
      <c r="DK7" s="1" t="s">
        <v>1040</v>
      </c>
      <c r="DL7" s="1" t="s">
        <v>1041</v>
      </c>
      <c r="DM7" s="1" t="s">
        <v>1042</v>
      </c>
      <c r="DN7" s="1" t="s">
        <v>1043</v>
      </c>
      <c r="DO7" s="1" t="s">
        <v>1044</v>
      </c>
      <c r="DP7" s="1" t="s">
        <v>277</v>
      </c>
      <c r="DQ7" s="1" t="s">
        <v>1045</v>
      </c>
      <c r="DR7" s="1" t="s">
        <v>1046</v>
      </c>
      <c r="DS7" s="1" t="s">
        <v>1047</v>
      </c>
      <c r="DT7" s="1" t="s">
        <v>1048</v>
      </c>
      <c r="DU7" s="1" t="s">
        <v>1049</v>
      </c>
      <c r="DV7" s="1" t="s">
        <v>1050</v>
      </c>
      <c r="DW7" s="1" t="s">
        <v>1051</v>
      </c>
      <c r="DX7" s="1" t="s">
        <v>1052</v>
      </c>
      <c r="DY7" s="1" t="s">
        <v>1053</v>
      </c>
      <c r="DZ7" s="1" t="s">
        <v>1054</v>
      </c>
      <c r="EA7" s="1" t="s">
        <v>1055</v>
      </c>
      <c r="EB7" s="1" t="s">
        <v>1056</v>
      </c>
      <c r="EC7" s="1" t="s">
        <v>1057</v>
      </c>
      <c r="ED7" s="1" t="s">
        <v>1058</v>
      </c>
      <c r="EE7" s="1" t="s">
        <v>1059</v>
      </c>
      <c r="EF7" s="1" t="s">
        <v>1060</v>
      </c>
      <c r="EG7" s="1" t="s">
        <v>1061</v>
      </c>
      <c r="EH7" s="1" t="s">
        <v>1062</v>
      </c>
      <c r="EI7" s="1" t="s">
        <v>1063</v>
      </c>
      <c r="EJ7" s="1" t="s">
        <v>1064</v>
      </c>
      <c r="EK7" s="1" t="s">
        <v>1065</v>
      </c>
      <c r="EL7" s="1" t="s">
        <v>1066</v>
      </c>
      <c r="EM7" s="1" t="s">
        <v>1067</v>
      </c>
      <c r="EN7" s="1" t="s">
        <v>1068</v>
      </c>
      <c r="EO7" s="1" t="s">
        <v>1069</v>
      </c>
      <c r="EP7" s="1" t="s">
        <v>1070</v>
      </c>
      <c r="EQ7" s="1" t="s">
        <v>1071</v>
      </c>
      <c r="ER7" s="1" t="s">
        <v>1072</v>
      </c>
      <c r="ES7" s="1" t="s">
        <v>1073</v>
      </c>
      <c r="ET7" s="1" t="s">
        <v>1074</v>
      </c>
      <c r="EU7" s="1" t="s">
        <v>1075</v>
      </c>
      <c r="EV7" s="1" t="s">
        <v>1076</v>
      </c>
      <c r="EW7" s="1" t="s">
        <v>1077</v>
      </c>
      <c r="EX7" s="1" t="s">
        <v>1078</v>
      </c>
      <c r="EY7" s="1" t="s">
        <v>1079</v>
      </c>
      <c r="EZ7" s="1" t="s">
        <v>1080</v>
      </c>
      <c r="FA7" s="1" t="s">
        <v>1081</v>
      </c>
      <c r="FB7" s="1" t="s">
        <v>1082</v>
      </c>
      <c r="FC7" s="1" t="s">
        <v>1083</v>
      </c>
      <c r="FD7" s="1" t="s">
        <v>1084</v>
      </c>
      <c r="FE7" s="1" t="s">
        <v>1085</v>
      </c>
      <c r="FF7" s="1" t="s">
        <v>1086</v>
      </c>
      <c r="FG7" s="1" t="s">
        <v>1087</v>
      </c>
      <c r="FH7" s="1" t="s">
        <v>1088</v>
      </c>
    </row>
    <row r="8" spans="1:164" ht="409.6">
      <c r="A8">
        <v>373</v>
      </c>
      <c r="B8" s="1" t="s">
        <v>1089</v>
      </c>
      <c r="C8" s="1" t="s">
        <v>1090</v>
      </c>
      <c r="D8" s="1" t="s">
        <v>1091</v>
      </c>
      <c r="E8" s="1" t="s">
        <v>1092</v>
      </c>
      <c r="F8" s="1">
        <v>2016</v>
      </c>
      <c r="G8" s="1" t="s">
        <v>1093</v>
      </c>
      <c r="H8" s="1" t="s">
        <v>1094</v>
      </c>
      <c r="I8" s="1" t="s">
        <v>1095</v>
      </c>
      <c r="J8" s="6" t="s">
        <v>1096</v>
      </c>
      <c r="K8" s="1" t="s">
        <v>1097</v>
      </c>
      <c r="L8" s="6" t="s">
        <v>1098</v>
      </c>
      <c r="M8" s="1" t="s">
        <v>1099</v>
      </c>
      <c r="N8" s="1" t="s">
        <v>1100</v>
      </c>
      <c r="O8" s="1" t="s">
        <v>1101</v>
      </c>
      <c r="P8" s="1" t="s">
        <v>1102</v>
      </c>
      <c r="Q8" s="1" t="s">
        <v>1103</v>
      </c>
      <c r="R8" s="1" t="s">
        <v>1104</v>
      </c>
      <c r="S8" s="1" t="s">
        <v>1105</v>
      </c>
      <c r="T8" s="1" t="s">
        <v>1106</v>
      </c>
      <c r="U8" s="1" t="s">
        <v>1107</v>
      </c>
      <c r="V8" s="1" t="s">
        <v>1108</v>
      </c>
      <c r="W8" s="1" t="s">
        <v>1109</v>
      </c>
      <c r="X8" s="1" t="s">
        <v>1110</v>
      </c>
      <c r="Y8" s="1" t="s">
        <v>1111</v>
      </c>
      <c r="Z8" s="1" t="s">
        <v>1112</v>
      </c>
      <c r="AA8" s="1" t="s">
        <v>1113</v>
      </c>
      <c r="AB8" s="1" t="s">
        <v>1114</v>
      </c>
      <c r="AC8" s="1" t="s">
        <v>1115</v>
      </c>
      <c r="AD8" s="1" t="s">
        <v>1116</v>
      </c>
      <c r="AE8" s="1" t="s">
        <v>1117</v>
      </c>
      <c r="AF8" s="1" t="s">
        <v>1118</v>
      </c>
      <c r="AG8" s="1" t="s">
        <v>1119</v>
      </c>
      <c r="AH8" s="1" t="s">
        <v>1120</v>
      </c>
      <c r="AI8">
        <v>8</v>
      </c>
      <c r="AJ8" s="1" t="s">
        <v>1121</v>
      </c>
      <c r="AK8" s="1" t="s">
        <v>1122</v>
      </c>
      <c r="AL8" s="1" t="s">
        <v>354</v>
      </c>
      <c r="AM8" s="1" t="s">
        <v>971</v>
      </c>
      <c r="AN8" s="1" t="s">
        <v>815</v>
      </c>
      <c r="AO8" s="1" t="s">
        <v>1123</v>
      </c>
      <c r="AP8" s="3" t="s">
        <v>1124</v>
      </c>
      <c r="AQ8" s="1" t="s">
        <v>1125</v>
      </c>
      <c r="AR8" s="1" t="s">
        <v>1126</v>
      </c>
      <c r="AS8" s="1" t="s">
        <v>1127</v>
      </c>
      <c r="AT8" s="1" t="s">
        <v>1128</v>
      </c>
      <c r="AU8" s="1" t="s">
        <v>1129</v>
      </c>
      <c r="AV8" s="1" t="s">
        <v>1130</v>
      </c>
      <c r="AW8" s="1" t="s">
        <v>1131</v>
      </c>
      <c r="AX8" s="1" t="s">
        <v>1132</v>
      </c>
      <c r="AY8" s="1">
        <f>1-617-981-985</f>
        <v>-2582</v>
      </c>
      <c r="AZ8" s="1" t="s">
        <v>1133</v>
      </c>
      <c r="BA8" s="1" t="s">
        <v>1134</v>
      </c>
      <c r="BB8" s="1" t="s">
        <v>1135</v>
      </c>
      <c r="BC8" s="1">
        <f>1-617-555-123</f>
        <v>-1294</v>
      </c>
      <c r="BD8" s="1" t="s">
        <v>1136</v>
      </c>
      <c r="BE8" s="1" t="s">
        <v>1137</v>
      </c>
      <c r="BF8" s="1" t="s">
        <v>1138</v>
      </c>
      <c r="BG8" s="1" t="s">
        <v>1139</v>
      </c>
      <c r="BH8" s="1" t="s">
        <v>1140</v>
      </c>
      <c r="BI8" s="1" t="s">
        <v>1141</v>
      </c>
      <c r="BJ8" s="1" t="s">
        <v>1142</v>
      </c>
      <c r="BK8" s="1" t="s">
        <v>1143</v>
      </c>
      <c r="BL8" s="1" t="s">
        <v>1144</v>
      </c>
      <c r="BM8" s="1" t="s">
        <v>1145</v>
      </c>
      <c r="BN8" s="1" t="s">
        <v>1146</v>
      </c>
      <c r="BO8" s="1" t="s">
        <v>1147</v>
      </c>
      <c r="BP8" s="1" t="s">
        <v>1148</v>
      </c>
      <c r="BQ8" s="1" t="s">
        <v>1149</v>
      </c>
      <c r="BR8" s="1" t="s">
        <v>1150</v>
      </c>
      <c r="BS8" s="1" t="s">
        <v>1151</v>
      </c>
      <c r="BT8" s="1" t="s">
        <v>1152</v>
      </c>
      <c r="BU8" s="1" t="s">
        <v>1153</v>
      </c>
      <c r="BV8" s="1" t="s">
        <v>1154</v>
      </c>
      <c r="BW8" s="8">
        <v>5.0694444444444445E-2</v>
      </c>
      <c r="BX8" s="1" t="s">
        <v>1155</v>
      </c>
      <c r="BY8" s="1">
        <v>55</v>
      </c>
      <c r="BZ8" s="1" t="s">
        <v>1156</v>
      </c>
      <c r="CA8" s="1" t="s">
        <v>1157</v>
      </c>
      <c r="CB8" s="1" t="s">
        <v>1158</v>
      </c>
      <c r="CC8" s="1" t="s">
        <v>394</v>
      </c>
      <c r="CD8" s="1" t="s">
        <v>1159</v>
      </c>
      <c r="CE8" s="1" t="s">
        <v>1160</v>
      </c>
      <c r="CF8" s="1" t="s">
        <v>1161</v>
      </c>
      <c r="CG8" s="1" t="s">
        <v>1162</v>
      </c>
      <c r="CH8" s="1" t="s">
        <v>1163</v>
      </c>
      <c r="CI8" s="1" t="s">
        <v>1164</v>
      </c>
      <c r="CJ8" s="1" t="s">
        <v>1165</v>
      </c>
      <c r="CK8" s="1" t="s">
        <v>1166</v>
      </c>
      <c r="CL8" s="1" t="s">
        <v>1167</v>
      </c>
      <c r="CM8" s="1" t="s">
        <v>1168</v>
      </c>
      <c r="CN8" s="1" t="s">
        <v>1169</v>
      </c>
      <c r="CO8" s="1" t="s">
        <v>1170</v>
      </c>
      <c r="CP8" s="1" t="s">
        <v>1171</v>
      </c>
      <c r="CQ8" s="1" t="s">
        <v>1172</v>
      </c>
      <c r="CR8" s="1" t="s">
        <v>1173</v>
      </c>
      <c r="CS8" s="1" t="s">
        <v>1174</v>
      </c>
      <c r="CT8" s="1" t="s">
        <v>1175</v>
      </c>
      <c r="CU8" s="1" t="s">
        <v>1176</v>
      </c>
      <c r="CV8" s="1" t="s">
        <v>1177</v>
      </c>
      <c r="CW8" s="1" t="s">
        <v>1178</v>
      </c>
      <c r="CX8" s="1" t="s">
        <v>1179</v>
      </c>
      <c r="CY8" s="1" t="s">
        <v>1180</v>
      </c>
      <c r="CZ8" s="1" t="s">
        <v>1181</v>
      </c>
      <c r="DA8" s="1" t="s">
        <v>1182</v>
      </c>
      <c r="DB8" s="1" t="s">
        <v>1183</v>
      </c>
      <c r="DC8" s="1" t="s">
        <v>1184</v>
      </c>
      <c r="DD8" s="1" t="s">
        <v>1185</v>
      </c>
      <c r="DE8" s="1" t="s">
        <v>1186</v>
      </c>
      <c r="DF8" s="1" t="s">
        <v>1187</v>
      </c>
      <c r="DG8" s="1" t="s">
        <v>1188</v>
      </c>
      <c r="DH8" s="1" t="s">
        <v>1189</v>
      </c>
      <c r="DI8" s="1" t="s">
        <v>1190</v>
      </c>
      <c r="DJ8" s="1" t="s">
        <v>1191</v>
      </c>
      <c r="DK8" s="1" t="s">
        <v>1192</v>
      </c>
      <c r="DL8" s="1" t="s">
        <v>1193</v>
      </c>
      <c r="DM8" s="1" t="s">
        <v>1194</v>
      </c>
      <c r="DN8" s="1" t="s">
        <v>1195</v>
      </c>
      <c r="DO8" s="1" t="s">
        <v>1196</v>
      </c>
      <c r="DP8" s="1" t="s">
        <v>277</v>
      </c>
      <c r="DQ8" s="1" t="s">
        <v>1197</v>
      </c>
      <c r="DR8" s="1" t="s">
        <v>1198</v>
      </c>
      <c r="DS8" s="1" t="s">
        <v>1199</v>
      </c>
      <c r="DT8" s="1" t="s">
        <v>1200</v>
      </c>
      <c r="DU8" s="1" t="s">
        <v>1201</v>
      </c>
      <c r="DV8" s="1" t="s">
        <v>1202</v>
      </c>
      <c r="DW8" s="1" t="s">
        <v>1203</v>
      </c>
      <c r="DX8" s="1" t="s">
        <v>1204</v>
      </c>
      <c r="DY8" s="1" t="s">
        <v>1205</v>
      </c>
      <c r="DZ8" s="1" t="s">
        <v>1206</v>
      </c>
      <c r="EA8" s="1" t="s">
        <v>1207</v>
      </c>
      <c r="EB8" s="1" t="s">
        <v>1208</v>
      </c>
      <c r="EC8" s="1" t="s">
        <v>1209</v>
      </c>
      <c r="ED8" s="1" t="s">
        <v>1210</v>
      </c>
      <c r="EE8" s="1" t="s">
        <v>1211</v>
      </c>
      <c r="EF8" s="1" t="s">
        <v>1212</v>
      </c>
      <c r="EG8" s="1" t="s">
        <v>1213</v>
      </c>
      <c r="EH8" s="1" t="s">
        <v>1214</v>
      </c>
      <c r="EI8" s="1" t="s">
        <v>1215</v>
      </c>
      <c r="EJ8" s="1" t="s">
        <v>1216</v>
      </c>
      <c r="EK8" s="1" t="s">
        <v>1217</v>
      </c>
      <c r="EL8" s="1" t="s">
        <v>1218</v>
      </c>
      <c r="EM8" s="1" t="s">
        <v>1219</v>
      </c>
      <c r="EN8" s="1" t="s">
        <v>1220</v>
      </c>
      <c r="EO8" s="1" t="s">
        <v>1221</v>
      </c>
      <c r="EP8" s="1" t="s">
        <v>1222</v>
      </c>
      <c r="EQ8" s="1" t="s">
        <v>1223</v>
      </c>
      <c r="ER8" s="1" t="s">
        <v>1224</v>
      </c>
      <c r="ES8" s="1" t="s">
        <v>1225</v>
      </c>
      <c r="ET8" s="1" t="s">
        <v>1226</v>
      </c>
      <c r="EU8" s="1" t="s">
        <v>1227</v>
      </c>
      <c r="EV8" s="1" t="s">
        <v>1228</v>
      </c>
      <c r="EW8" s="1" t="s">
        <v>1229</v>
      </c>
      <c r="EX8" s="1" t="s">
        <v>1230</v>
      </c>
      <c r="EY8" s="1" t="s">
        <v>1231</v>
      </c>
      <c r="EZ8" s="1" t="s">
        <v>1232</v>
      </c>
      <c r="FA8" s="1" t="s">
        <v>1233</v>
      </c>
      <c r="FB8" s="1" t="s">
        <v>1234</v>
      </c>
      <c r="FC8" s="1" t="s">
        <v>1235</v>
      </c>
      <c r="FD8" s="1" t="s">
        <v>1236</v>
      </c>
      <c r="FE8" s="1" t="s">
        <v>1237</v>
      </c>
      <c r="FF8" s="1" t="s">
        <v>1086</v>
      </c>
      <c r="FG8" s="1" t="s">
        <v>1238</v>
      </c>
      <c r="FH8" s="1" t="s">
        <v>1239</v>
      </c>
    </row>
    <row r="9" spans="1:164" ht="409.6">
      <c r="A9">
        <v>374</v>
      </c>
      <c r="B9" s="1" t="s">
        <v>1240</v>
      </c>
      <c r="C9" s="1" t="s">
        <v>1241</v>
      </c>
      <c r="D9" s="1" t="s">
        <v>1242</v>
      </c>
      <c r="E9" s="1" t="s">
        <v>1243</v>
      </c>
      <c r="F9" s="1">
        <v>2013</v>
      </c>
      <c r="G9" s="1" t="s">
        <v>1244</v>
      </c>
      <c r="H9" s="1" t="s">
        <v>1245</v>
      </c>
      <c r="I9" s="1" t="s">
        <v>1246</v>
      </c>
      <c r="J9" s="4" t="s">
        <v>1247</v>
      </c>
      <c r="K9" s="1" t="s">
        <v>1248</v>
      </c>
      <c r="L9" s="4" t="s">
        <v>1249</v>
      </c>
      <c r="M9" s="1" t="s">
        <v>1250</v>
      </c>
      <c r="N9" s="1" t="s">
        <v>1251</v>
      </c>
      <c r="O9" s="1" t="s">
        <v>1252</v>
      </c>
      <c r="P9" s="1" t="s">
        <v>1253</v>
      </c>
      <c r="Q9" s="1" t="s">
        <v>1254</v>
      </c>
      <c r="R9" s="1" t="s">
        <v>1255</v>
      </c>
      <c r="S9" s="1" t="s">
        <v>1256</v>
      </c>
      <c r="T9" s="1" t="s">
        <v>1257</v>
      </c>
      <c r="U9" s="1" t="s">
        <v>1258</v>
      </c>
      <c r="V9" s="1" t="s">
        <v>1259</v>
      </c>
      <c r="W9" s="1" t="s">
        <v>1260</v>
      </c>
      <c r="X9" s="1" t="s">
        <v>1261</v>
      </c>
      <c r="Y9" s="1" t="s">
        <v>1262</v>
      </c>
      <c r="Z9" s="1" t="s">
        <v>1263</v>
      </c>
      <c r="AA9" s="1" t="s">
        <v>1264</v>
      </c>
      <c r="AB9" s="1" t="s">
        <v>1265</v>
      </c>
      <c r="AC9" s="1" t="s">
        <v>1266</v>
      </c>
      <c r="AD9" s="1" t="s">
        <v>1267</v>
      </c>
      <c r="AE9" s="1" t="s">
        <v>1268</v>
      </c>
      <c r="AF9" s="1" t="s">
        <v>1269</v>
      </c>
      <c r="AG9" s="1" t="s">
        <v>1270</v>
      </c>
      <c r="AH9" s="1" t="s">
        <v>1271</v>
      </c>
      <c r="AI9">
        <v>8.1999999999999993</v>
      </c>
      <c r="AJ9" s="1" t="s">
        <v>1272</v>
      </c>
      <c r="AK9" s="1" t="s">
        <v>1273</v>
      </c>
      <c r="AL9" s="1" t="s">
        <v>1274</v>
      </c>
      <c r="AM9" s="1" t="s">
        <v>1275</v>
      </c>
      <c r="AN9" s="1" t="s">
        <v>1276</v>
      </c>
      <c r="AO9" s="1" t="s">
        <v>1277</v>
      </c>
      <c r="AP9" s="3" t="s">
        <v>1278</v>
      </c>
      <c r="AQ9" s="1" t="s">
        <v>1279</v>
      </c>
      <c r="AR9" s="1" t="s">
        <v>1280</v>
      </c>
      <c r="AS9" s="1" t="s">
        <v>1281</v>
      </c>
      <c r="AT9" s="1" t="s">
        <v>1282</v>
      </c>
      <c r="AU9" s="1" t="s">
        <v>1283</v>
      </c>
      <c r="AV9" s="1" t="s">
        <v>1284</v>
      </c>
      <c r="AW9" s="1" t="s">
        <v>1285</v>
      </c>
      <c r="AX9" s="1" t="s">
        <v>1286</v>
      </c>
      <c r="AY9" s="1" t="s">
        <v>1287</v>
      </c>
      <c r="AZ9" s="1" t="s">
        <v>1281</v>
      </c>
      <c r="BA9" s="1" t="s">
        <v>1288</v>
      </c>
      <c r="BB9" s="1" t="s">
        <v>1289</v>
      </c>
      <c r="BC9" s="1" t="s">
        <v>1289</v>
      </c>
      <c r="BD9" s="1" t="s">
        <v>1290</v>
      </c>
      <c r="BE9" s="1" t="s">
        <v>1291</v>
      </c>
      <c r="BF9" s="1" t="s">
        <v>1292</v>
      </c>
      <c r="BG9" s="1" t="s">
        <v>1293</v>
      </c>
      <c r="BH9" s="1" t="s">
        <v>1294</v>
      </c>
      <c r="BI9" s="1" t="s">
        <v>1295</v>
      </c>
      <c r="BJ9" s="1" t="s">
        <v>1296</v>
      </c>
      <c r="BK9" s="1" t="s">
        <v>1297</v>
      </c>
      <c r="BL9" s="1" t="s">
        <v>1298</v>
      </c>
      <c r="BM9" s="1" t="s">
        <v>1299</v>
      </c>
      <c r="BN9" s="1" t="s">
        <v>1300</v>
      </c>
      <c r="BO9" s="1" t="s">
        <v>1301</v>
      </c>
      <c r="BP9" s="1" t="s">
        <v>1302</v>
      </c>
      <c r="BQ9" s="1" t="s">
        <v>1303</v>
      </c>
      <c r="BR9" s="1" t="s">
        <v>1304</v>
      </c>
      <c r="BS9" s="1" t="s">
        <v>1305</v>
      </c>
      <c r="BT9" s="1" t="s">
        <v>1306</v>
      </c>
      <c r="BU9" s="1" t="s">
        <v>1307</v>
      </c>
      <c r="BV9" s="1" t="s">
        <v>1308</v>
      </c>
      <c r="BW9" s="1" t="s">
        <v>1309</v>
      </c>
      <c r="BX9" s="1" t="s">
        <v>1310</v>
      </c>
      <c r="BY9" s="1" t="s">
        <v>1311</v>
      </c>
      <c r="BZ9" s="1" t="s">
        <v>1312</v>
      </c>
      <c r="CA9" s="1" t="s">
        <v>1313</v>
      </c>
      <c r="CB9" s="1" t="s">
        <v>1314</v>
      </c>
      <c r="CC9" s="1" t="s">
        <v>1315</v>
      </c>
      <c r="CD9" s="1" t="s">
        <v>1316</v>
      </c>
      <c r="CE9" s="1" t="s">
        <v>1317</v>
      </c>
      <c r="CF9" s="1" t="s">
        <v>1318</v>
      </c>
      <c r="CG9" s="1" t="s">
        <v>1319</v>
      </c>
      <c r="CH9" s="1" t="s">
        <v>1320</v>
      </c>
      <c r="CI9" s="1" t="s">
        <v>1321</v>
      </c>
      <c r="CJ9" s="1" t="s">
        <v>1322</v>
      </c>
      <c r="CK9" s="1" t="s">
        <v>1323</v>
      </c>
      <c r="CL9" s="1" t="s">
        <v>1167</v>
      </c>
      <c r="CM9" s="1" t="s">
        <v>1324</v>
      </c>
      <c r="CN9" s="1" t="s">
        <v>1325</v>
      </c>
      <c r="CO9" s="1" t="s">
        <v>1326</v>
      </c>
      <c r="CP9" s="1" t="s">
        <v>1327</v>
      </c>
      <c r="CQ9" s="1" t="s">
        <v>1328</v>
      </c>
      <c r="CR9" s="1" t="s">
        <v>1329</v>
      </c>
      <c r="CS9" s="1" t="s">
        <v>1330</v>
      </c>
      <c r="CT9" s="1" t="s">
        <v>1331</v>
      </c>
      <c r="CU9" s="1" t="s">
        <v>1332</v>
      </c>
      <c r="CV9" s="1" t="s">
        <v>1333</v>
      </c>
      <c r="CW9" s="1" t="s">
        <v>1334</v>
      </c>
      <c r="CX9" s="1" t="s">
        <v>1335</v>
      </c>
      <c r="CY9" s="1" t="s">
        <v>1336</v>
      </c>
      <c r="CZ9" s="1" t="s">
        <v>1337</v>
      </c>
      <c r="DA9" s="1" t="s">
        <v>1338</v>
      </c>
      <c r="DB9" s="1" t="s">
        <v>1339</v>
      </c>
      <c r="DC9" s="1" t="s">
        <v>1340</v>
      </c>
      <c r="DD9" s="1" t="s">
        <v>1341</v>
      </c>
      <c r="DE9" s="1" t="s">
        <v>1342</v>
      </c>
      <c r="DF9" s="1" t="s">
        <v>1343</v>
      </c>
      <c r="DG9" s="1" t="s">
        <v>1188</v>
      </c>
      <c r="DH9" s="1" t="s">
        <v>1344</v>
      </c>
      <c r="DI9" s="1" t="s">
        <v>1345</v>
      </c>
      <c r="DJ9" s="1" t="s">
        <v>1346</v>
      </c>
      <c r="DK9" s="1" t="s">
        <v>1347</v>
      </c>
      <c r="DL9" s="1" t="s">
        <v>1348</v>
      </c>
      <c r="DM9" s="1" t="s">
        <v>1349</v>
      </c>
      <c r="DN9" s="1" t="s">
        <v>1350</v>
      </c>
      <c r="DO9" s="1" t="s">
        <v>1351</v>
      </c>
      <c r="DP9" s="1" t="s">
        <v>276</v>
      </c>
      <c r="DQ9" s="1" t="s">
        <v>1352</v>
      </c>
      <c r="DR9" s="1" t="s">
        <v>1198</v>
      </c>
      <c r="DS9" s="1" t="s">
        <v>1353</v>
      </c>
      <c r="DT9" s="1" t="s">
        <v>1354</v>
      </c>
      <c r="DU9" s="1" t="s">
        <v>1355</v>
      </c>
      <c r="DV9" s="1" t="s">
        <v>1356</v>
      </c>
      <c r="DW9" s="1" t="s">
        <v>1357</v>
      </c>
      <c r="DX9" s="1" t="s">
        <v>1358</v>
      </c>
      <c r="DY9" s="1" t="s">
        <v>1359</v>
      </c>
      <c r="DZ9" s="1" t="s">
        <v>1360</v>
      </c>
      <c r="EA9" s="1" t="s">
        <v>1361</v>
      </c>
      <c r="EB9" s="1" t="s">
        <v>1362</v>
      </c>
      <c r="EC9" s="1" t="s">
        <v>1363</v>
      </c>
      <c r="ED9" s="1" t="s">
        <v>1364</v>
      </c>
      <c r="EE9" s="1" t="s">
        <v>1365</v>
      </c>
      <c r="EF9" s="1" t="s">
        <v>1366</v>
      </c>
      <c r="EG9" s="1" t="s">
        <v>1367</v>
      </c>
      <c r="EH9" s="1" t="s">
        <v>1368</v>
      </c>
      <c r="EI9" s="1" t="s">
        <v>1369</v>
      </c>
      <c r="EJ9" s="1" t="s">
        <v>1370</v>
      </c>
      <c r="EK9" s="1" t="s">
        <v>1371</v>
      </c>
      <c r="EL9" s="1" t="s">
        <v>611</v>
      </c>
      <c r="EM9" s="1" t="s">
        <v>1372</v>
      </c>
      <c r="EN9" s="1" t="s">
        <v>1373</v>
      </c>
      <c r="EO9" s="1" t="s">
        <v>295</v>
      </c>
      <c r="EP9" s="1" t="s">
        <v>1374</v>
      </c>
      <c r="EQ9" s="1" t="s">
        <v>1375</v>
      </c>
      <c r="ER9" s="1" t="s">
        <v>1376</v>
      </c>
      <c r="ES9" s="1" t="s">
        <v>1377</v>
      </c>
      <c r="ET9" s="1" t="s">
        <v>462</v>
      </c>
      <c r="EU9" s="1" t="s">
        <v>1378</v>
      </c>
      <c r="EV9" s="1" t="s">
        <v>1379</v>
      </c>
      <c r="EW9" s="1" t="s">
        <v>1380</v>
      </c>
      <c r="EX9" s="1" t="s">
        <v>1381</v>
      </c>
      <c r="EY9" s="1" t="s">
        <v>1382</v>
      </c>
      <c r="EZ9" s="1" t="s">
        <v>1383</v>
      </c>
      <c r="FA9" s="1" t="s">
        <v>1384</v>
      </c>
      <c r="FB9" s="1" t="s">
        <v>1385</v>
      </c>
      <c r="FC9" s="1" t="s">
        <v>1386</v>
      </c>
      <c r="FD9" s="1" t="s">
        <v>1387</v>
      </c>
      <c r="FE9" s="1" t="s">
        <v>1388</v>
      </c>
      <c r="FF9" s="1" t="s">
        <v>1389</v>
      </c>
      <c r="FG9" s="1" t="s">
        <v>1390</v>
      </c>
      <c r="FH9" s="1" t="s">
        <v>1391</v>
      </c>
    </row>
    <row r="10" spans="1:164" ht="409.6">
      <c r="A10">
        <v>375</v>
      </c>
      <c r="B10" s="1" t="s">
        <v>1392</v>
      </c>
      <c r="C10" s="1" t="s">
        <v>1393</v>
      </c>
      <c r="D10" s="1" t="s">
        <v>1394</v>
      </c>
      <c r="E10" s="1" t="s">
        <v>1395</v>
      </c>
      <c r="F10" s="1">
        <v>1998</v>
      </c>
      <c r="G10" s="1" t="s">
        <v>1396</v>
      </c>
      <c r="H10" s="1" t="s">
        <v>1397</v>
      </c>
      <c r="I10" s="1" t="s">
        <v>1398</v>
      </c>
      <c r="J10" s="6" t="s">
        <v>1399</v>
      </c>
      <c r="K10" s="1" t="s">
        <v>1400</v>
      </c>
      <c r="L10" s="6" t="s">
        <v>1401</v>
      </c>
      <c r="M10" s="1" t="s">
        <v>1402</v>
      </c>
      <c r="N10" s="1" t="s">
        <v>1403</v>
      </c>
      <c r="O10" s="1" t="s">
        <v>1404</v>
      </c>
      <c r="P10" s="1" t="s">
        <v>1405</v>
      </c>
      <c r="Q10" s="1" t="s">
        <v>1406</v>
      </c>
      <c r="R10" s="1" t="s">
        <v>1407</v>
      </c>
      <c r="S10" s="1" t="s">
        <v>1408</v>
      </c>
      <c r="T10" s="1" t="s">
        <v>1409</v>
      </c>
      <c r="U10" s="1" t="s">
        <v>1410</v>
      </c>
      <c r="V10" s="1" t="s">
        <v>1411</v>
      </c>
      <c r="W10" s="1" t="s">
        <v>1412</v>
      </c>
      <c r="X10" s="1" t="s">
        <v>1413</v>
      </c>
      <c r="Y10" s="1" t="s">
        <v>1414</v>
      </c>
      <c r="Z10" s="1" t="s">
        <v>1415</v>
      </c>
      <c r="AA10" s="1" t="s">
        <v>1416</v>
      </c>
      <c r="AB10" s="1" t="s">
        <v>1417</v>
      </c>
      <c r="AC10" s="1" t="s">
        <v>1418</v>
      </c>
      <c r="AD10" s="1" t="s">
        <v>1419</v>
      </c>
      <c r="AE10" s="1" t="s">
        <v>1420</v>
      </c>
      <c r="AF10" s="1" t="s">
        <v>1421</v>
      </c>
      <c r="AG10" s="1" t="s">
        <v>1422</v>
      </c>
      <c r="AH10" s="1" t="s">
        <v>1423</v>
      </c>
      <c r="AI10">
        <v>8.5</v>
      </c>
      <c r="AJ10" s="1" t="s">
        <v>1424</v>
      </c>
      <c r="AK10" s="1" t="s">
        <v>1425</v>
      </c>
      <c r="AL10" s="1" t="s">
        <v>1274</v>
      </c>
      <c r="AM10" s="1" t="s">
        <v>1275</v>
      </c>
      <c r="AN10" s="1" t="s">
        <v>1426</v>
      </c>
      <c r="AO10" s="1" t="s">
        <v>1427</v>
      </c>
      <c r="AP10" s="3" t="s">
        <v>1428</v>
      </c>
      <c r="AQ10" s="1" t="s">
        <v>1429</v>
      </c>
      <c r="AR10" s="1" t="s">
        <v>1430</v>
      </c>
      <c r="AS10" s="1" t="s">
        <v>1431</v>
      </c>
      <c r="AT10" s="1" t="s">
        <v>1432</v>
      </c>
      <c r="AU10" s="1" t="s">
        <v>1433</v>
      </c>
      <c r="AV10" s="1" t="s">
        <v>1434</v>
      </c>
      <c r="AW10" s="1" t="s">
        <v>1435</v>
      </c>
      <c r="AX10" s="1" t="s">
        <v>1436</v>
      </c>
      <c r="AY10" s="1">
        <f>1-408-967-1000</f>
        <v>-2374</v>
      </c>
      <c r="AZ10" s="1" t="s">
        <v>1437</v>
      </c>
      <c r="BA10" s="1" t="s">
        <v>1438</v>
      </c>
      <c r="BB10" s="1" t="s">
        <v>1289</v>
      </c>
      <c r="BC10" s="1" t="s">
        <v>1439</v>
      </c>
      <c r="BD10" s="1" t="s">
        <v>1440</v>
      </c>
      <c r="BE10" s="1" t="s">
        <v>1441</v>
      </c>
      <c r="BF10" s="1" t="s">
        <v>1442</v>
      </c>
      <c r="BG10" s="1" t="s">
        <v>1443</v>
      </c>
      <c r="BH10" s="1" t="s">
        <v>1444</v>
      </c>
      <c r="BI10" s="1" t="s">
        <v>1445</v>
      </c>
      <c r="BJ10" s="1" t="s">
        <v>1446</v>
      </c>
      <c r="BK10" s="1" t="s">
        <v>1447</v>
      </c>
      <c r="BL10" s="1" t="s">
        <v>1448</v>
      </c>
      <c r="BM10" s="1" t="s">
        <v>1449</v>
      </c>
      <c r="BN10" s="1" t="s">
        <v>1450</v>
      </c>
      <c r="BO10" s="1" t="s">
        <v>1451</v>
      </c>
      <c r="BP10" s="1" t="s">
        <v>1452</v>
      </c>
      <c r="BQ10" s="1" t="s">
        <v>1453</v>
      </c>
      <c r="BR10" s="1" t="s">
        <v>1454</v>
      </c>
      <c r="BS10" s="1" t="s">
        <v>1455</v>
      </c>
      <c r="BT10" s="1" t="s">
        <v>1456</v>
      </c>
      <c r="BU10" s="1" t="s">
        <v>1457</v>
      </c>
      <c r="BV10" s="1" t="s">
        <v>1458</v>
      </c>
      <c r="BW10" s="1" t="s">
        <v>1459</v>
      </c>
      <c r="BX10" s="1" t="s">
        <v>1460</v>
      </c>
      <c r="BY10" s="1" t="s">
        <v>1461</v>
      </c>
      <c r="BZ10" s="1" t="s">
        <v>1462</v>
      </c>
      <c r="CA10" s="1" t="s">
        <v>1463</v>
      </c>
      <c r="CB10" s="1" t="s">
        <v>1464</v>
      </c>
      <c r="CC10" s="1" t="s">
        <v>1465</v>
      </c>
      <c r="CD10" s="1" t="s">
        <v>1466</v>
      </c>
      <c r="CE10" s="1" t="s">
        <v>1467</v>
      </c>
      <c r="CF10" s="1" t="s">
        <v>1468</v>
      </c>
      <c r="CG10" s="1" t="s">
        <v>1469</v>
      </c>
      <c r="CH10" s="1" t="s">
        <v>1470</v>
      </c>
      <c r="CI10" s="1" t="s">
        <v>1471</v>
      </c>
      <c r="CJ10" s="1" t="s">
        <v>1472</v>
      </c>
      <c r="CK10" s="1" t="s">
        <v>1473</v>
      </c>
      <c r="CL10" s="1" t="s">
        <v>1167</v>
      </c>
      <c r="CM10" s="1" t="s">
        <v>1474</v>
      </c>
      <c r="CN10" s="1" t="s">
        <v>1325</v>
      </c>
      <c r="CO10" s="1" t="s">
        <v>1475</v>
      </c>
      <c r="CP10" s="1" t="s">
        <v>1476</v>
      </c>
      <c r="CQ10" s="1" t="s">
        <v>1477</v>
      </c>
      <c r="CR10" s="1" t="s">
        <v>1478</v>
      </c>
      <c r="CS10" s="1" t="s">
        <v>1479</v>
      </c>
      <c r="CT10" s="1" t="s">
        <v>1480</v>
      </c>
      <c r="CU10" s="1" t="s">
        <v>1481</v>
      </c>
      <c r="CV10" s="1" t="s">
        <v>1482</v>
      </c>
      <c r="CW10" s="1" t="s">
        <v>1483</v>
      </c>
      <c r="CX10" s="1" t="s">
        <v>1484</v>
      </c>
      <c r="CY10" s="1" t="s">
        <v>1485</v>
      </c>
      <c r="CZ10" s="1" t="s">
        <v>1486</v>
      </c>
      <c r="DA10" s="1" t="s">
        <v>1487</v>
      </c>
      <c r="DB10" s="1" t="s">
        <v>1488</v>
      </c>
      <c r="DC10" s="1" t="s">
        <v>1489</v>
      </c>
      <c r="DD10" s="1" t="s">
        <v>1490</v>
      </c>
      <c r="DE10" s="1" t="s">
        <v>1342</v>
      </c>
      <c r="DF10" s="1" t="s">
        <v>1491</v>
      </c>
      <c r="DG10" s="1" t="s">
        <v>1492</v>
      </c>
      <c r="DH10" s="1" t="s">
        <v>1493</v>
      </c>
      <c r="DI10" s="1" t="s">
        <v>1494</v>
      </c>
      <c r="DJ10" s="1" t="s">
        <v>1495</v>
      </c>
      <c r="DK10" s="1" t="s">
        <v>1496</v>
      </c>
      <c r="DL10" s="1" t="s">
        <v>1497</v>
      </c>
      <c r="DM10" s="1" t="s">
        <v>1498</v>
      </c>
      <c r="DN10" s="1" t="s">
        <v>1499</v>
      </c>
      <c r="DO10" s="1" t="s">
        <v>276</v>
      </c>
      <c r="DP10" s="1" t="s">
        <v>277</v>
      </c>
      <c r="DQ10" s="1" t="s">
        <v>1500</v>
      </c>
      <c r="DR10" s="1" t="s">
        <v>1501</v>
      </c>
      <c r="DS10" s="1" t="s">
        <v>295</v>
      </c>
      <c r="DT10" s="1" t="s">
        <v>1502</v>
      </c>
      <c r="DU10" s="1" t="s">
        <v>1503</v>
      </c>
      <c r="DV10" s="1" t="s">
        <v>1504</v>
      </c>
      <c r="DW10" s="1" t="s">
        <v>1505</v>
      </c>
      <c r="DX10" s="1" t="s">
        <v>1506</v>
      </c>
      <c r="DY10" s="1" t="s">
        <v>286</v>
      </c>
      <c r="DZ10" s="1" t="s">
        <v>1507</v>
      </c>
      <c r="EA10" s="1" t="s">
        <v>1508</v>
      </c>
      <c r="EB10" s="1" t="s">
        <v>1509</v>
      </c>
      <c r="EC10" s="1" t="s">
        <v>1510</v>
      </c>
      <c r="ED10" s="1" t="s">
        <v>1511</v>
      </c>
      <c r="EE10" s="1" t="s">
        <v>1512</v>
      </c>
      <c r="EF10" s="1" t="s">
        <v>1366</v>
      </c>
      <c r="EG10" s="1" t="s">
        <v>1513</v>
      </c>
      <c r="EH10" s="1" t="s">
        <v>295</v>
      </c>
      <c r="EI10" s="1" t="s">
        <v>1215</v>
      </c>
      <c r="EJ10" s="1" t="s">
        <v>1514</v>
      </c>
      <c r="EK10" s="1" t="s">
        <v>611</v>
      </c>
      <c r="EL10" s="1" t="s">
        <v>1515</v>
      </c>
      <c r="EM10" s="1" t="s">
        <v>1516</v>
      </c>
      <c r="EN10" s="1" t="s">
        <v>1517</v>
      </c>
      <c r="EO10" s="1" t="s">
        <v>611</v>
      </c>
      <c r="EP10" s="1" t="s">
        <v>1518</v>
      </c>
      <c r="EQ10" s="1" t="s">
        <v>1519</v>
      </c>
      <c r="ER10" s="1" t="s">
        <v>1376</v>
      </c>
      <c r="ES10" s="1" t="s">
        <v>1520</v>
      </c>
      <c r="ET10" s="1" t="s">
        <v>462</v>
      </c>
      <c r="EU10" s="1" t="s">
        <v>306</v>
      </c>
      <c r="EV10" s="1" t="s">
        <v>295</v>
      </c>
      <c r="EW10" s="1" t="s">
        <v>1521</v>
      </c>
      <c r="EX10" s="1" t="s">
        <v>1381</v>
      </c>
      <c r="EY10" s="1" t="s">
        <v>1522</v>
      </c>
      <c r="EZ10" s="1" t="s">
        <v>1523</v>
      </c>
      <c r="FA10" s="1" t="s">
        <v>1384</v>
      </c>
      <c r="FB10" s="1" t="s">
        <v>1385</v>
      </c>
      <c r="FC10" s="1" t="s">
        <v>1386</v>
      </c>
      <c r="FD10" s="1" t="s">
        <v>1387</v>
      </c>
      <c r="FE10" s="1" t="s">
        <v>1524</v>
      </c>
      <c r="FF10" s="1" t="s">
        <v>1389</v>
      </c>
      <c r="FG10" s="1" t="s">
        <v>1525</v>
      </c>
      <c r="FH10" s="1" t="s">
        <v>1526</v>
      </c>
    </row>
    <row r="11" spans="1:164">
      <c r="A11">
        <v>376</v>
      </c>
      <c r="B11" t="s">
        <v>1527</v>
      </c>
      <c r="C11" t="s">
        <v>1528</v>
      </c>
      <c r="D11" t="s">
        <v>1529</v>
      </c>
      <c r="E11" t="s">
        <v>1530</v>
      </c>
      <c r="F11">
        <v>2017</v>
      </c>
      <c r="G11" t="s">
        <v>1531</v>
      </c>
      <c r="H11" t="s">
        <v>1532</v>
      </c>
      <c r="I11" t="s">
        <v>1533</v>
      </c>
      <c r="J11" s="9" t="s">
        <v>1534</v>
      </c>
      <c r="K11" t="s">
        <v>1535</v>
      </c>
      <c r="L11" s="9" t="s">
        <v>1536</v>
      </c>
      <c r="M11" t="s">
        <v>1537</v>
      </c>
      <c r="N11" t="s">
        <v>1538</v>
      </c>
      <c r="O11" t="s">
        <v>1539</v>
      </c>
      <c r="P11" t="s">
        <v>1540</v>
      </c>
      <c r="Q11" t="s">
        <v>1541</v>
      </c>
      <c r="R11" t="s">
        <v>1542</v>
      </c>
      <c r="S11" t="s">
        <v>1543</v>
      </c>
      <c r="T11" t="s">
        <v>1544</v>
      </c>
      <c r="U11" t="s">
        <v>1545</v>
      </c>
      <c r="V11" t="s">
        <v>1546</v>
      </c>
      <c r="W11" t="s">
        <v>1547</v>
      </c>
      <c r="X11" t="s">
        <v>1548</v>
      </c>
      <c r="Y11" t="s">
        <v>1549</v>
      </c>
      <c r="Z11" t="s">
        <v>1550</v>
      </c>
      <c r="AA11" t="s">
        <v>1551</v>
      </c>
      <c r="AB11" t="s">
        <v>1552</v>
      </c>
      <c r="AC11" t="s">
        <v>1553</v>
      </c>
      <c r="AD11" t="s">
        <v>1554</v>
      </c>
      <c r="AE11" t="s">
        <v>1555</v>
      </c>
      <c r="AF11" t="s">
        <v>1556</v>
      </c>
      <c r="AG11" t="s">
        <v>1557</v>
      </c>
      <c r="AH11" t="s">
        <v>1558</v>
      </c>
      <c r="AI11">
        <v>7.5</v>
      </c>
      <c r="AJ11" t="s">
        <v>1559</v>
      </c>
      <c r="AK11" t="s">
        <v>1560</v>
      </c>
      <c r="AL11" t="s">
        <v>1561</v>
      </c>
      <c r="AM11" t="s">
        <v>1562</v>
      </c>
      <c r="AN11" t="s">
        <v>1563</v>
      </c>
      <c r="AO11" t="s">
        <v>1564</v>
      </c>
      <c r="AP11" s="3" t="s">
        <v>1565</v>
      </c>
      <c r="AQ11" t="s">
        <v>1566</v>
      </c>
      <c r="AR11" t="s">
        <v>1567</v>
      </c>
      <c r="AS11" t="s">
        <v>1568</v>
      </c>
      <c r="AT11" t="s">
        <v>1569</v>
      </c>
      <c r="AU11" t="s">
        <v>1570</v>
      </c>
      <c r="AV11" t="s">
        <v>1571</v>
      </c>
      <c r="AW11" t="s">
        <v>1572</v>
      </c>
      <c r="AX11" t="s">
        <v>1573</v>
      </c>
      <c r="AY11" t="s">
        <v>1574</v>
      </c>
      <c r="AZ11" t="s">
        <v>1575</v>
      </c>
      <c r="BA11" t="s">
        <v>1576</v>
      </c>
      <c r="BB11" t="s">
        <v>1577</v>
      </c>
      <c r="BC11" t="s">
        <v>1578</v>
      </c>
      <c r="BD11" t="s">
        <v>1579</v>
      </c>
      <c r="BE11" t="s">
        <v>1580</v>
      </c>
      <c r="BF11" t="s">
        <v>1581</v>
      </c>
      <c r="BG11" t="s">
        <v>1582</v>
      </c>
      <c r="BH11" t="s">
        <v>1583</v>
      </c>
      <c r="BI11" t="s">
        <v>1584</v>
      </c>
      <c r="BJ11" t="s">
        <v>1585</v>
      </c>
      <c r="BK11" t="s">
        <v>1586</v>
      </c>
      <c r="BL11" t="s">
        <v>1587</v>
      </c>
      <c r="BM11" t="s">
        <v>1588</v>
      </c>
      <c r="BN11" t="s">
        <v>1589</v>
      </c>
      <c r="BO11" t="s">
        <v>1590</v>
      </c>
      <c r="BP11" t="s">
        <v>1591</v>
      </c>
      <c r="BQ11" t="s">
        <v>1592</v>
      </c>
      <c r="BR11" t="s">
        <v>1593</v>
      </c>
      <c r="BS11" t="s">
        <v>1594</v>
      </c>
      <c r="BT11" t="s">
        <v>1595</v>
      </c>
      <c r="BU11" t="s">
        <v>1596</v>
      </c>
      <c r="BV11" t="s">
        <v>1597</v>
      </c>
      <c r="BW11" t="s">
        <v>1598</v>
      </c>
      <c r="BX11" t="s">
        <v>1599</v>
      </c>
      <c r="BY11" t="s">
        <v>1600</v>
      </c>
      <c r="BZ11" t="s">
        <v>1601</v>
      </c>
      <c r="CA11" t="s">
        <v>1602</v>
      </c>
      <c r="CB11" t="s">
        <v>1603</v>
      </c>
      <c r="CC11" t="s">
        <v>1604</v>
      </c>
      <c r="CD11" t="s">
        <v>1605</v>
      </c>
      <c r="CE11" t="s">
        <v>1606</v>
      </c>
      <c r="CF11" t="s">
        <v>1607</v>
      </c>
      <c r="CG11" t="s">
        <v>1608</v>
      </c>
      <c r="CH11" t="s">
        <v>1609</v>
      </c>
      <c r="CI11" t="s">
        <v>1610</v>
      </c>
      <c r="CJ11" t="s">
        <v>1611</v>
      </c>
      <c r="CK11" t="s">
        <v>1612</v>
      </c>
      <c r="CL11" t="s">
        <v>1613</v>
      </c>
      <c r="CM11" t="s">
        <v>1614</v>
      </c>
      <c r="CN11" t="s">
        <v>1615</v>
      </c>
      <c r="CO11" t="s">
        <v>1616</v>
      </c>
      <c r="CP11" t="s">
        <v>1617</v>
      </c>
      <c r="CQ11" t="s">
        <v>1618</v>
      </c>
      <c r="CR11" t="s">
        <v>1619</v>
      </c>
      <c r="CS11" t="s">
        <v>1527</v>
      </c>
      <c r="CT11" t="s">
        <v>1620</v>
      </c>
      <c r="CU11" t="s">
        <v>1621</v>
      </c>
      <c r="CV11" t="s">
        <v>1622</v>
      </c>
      <c r="CW11" t="s">
        <v>1623</v>
      </c>
      <c r="CX11" t="s">
        <v>1624</v>
      </c>
      <c r="CY11" t="s">
        <v>1625</v>
      </c>
      <c r="CZ11" t="s">
        <v>1626</v>
      </c>
      <c r="DA11" t="s">
        <v>1627</v>
      </c>
      <c r="DB11" t="s">
        <v>1628</v>
      </c>
      <c r="DC11" t="s">
        <v>1629</v>
      </c>
      <c r="DD11" t="s">
        <v>1630</v>
      </c>
      <c r="DE11" t="s">
        <v>1631</v>
      </c>
      <c r="DF11" t="s">
        <v>1632</v>
      </c>
      <c r="DG11" t="s">
        <v>1633</v>
      </c>
      <c r="DH11" t="s">
        <v>1634</v>
      </c>
      <c r="DI11" t="s">
        <v>1635</v>
      </c>
      <c r="DJ11" t="s">
        <v>1636</v>
      </c>
      <c r="DK11" t="s">
        <v>1637</v>
      </c>
      <c r="DL11" t="s">
        <v>1638</v>
      </c>
      <c r="DM11" t="s">
        <v>1639</v>
      </c>
      <c r="DN11" t="s">
        <v>1640</v>
      </c>
      <c r="DO11" t="s">
        <v>1641</v>
      </c>
      <c r="DP11" t="s">
        <v>1642</v>
      </c>
      <c r="DQ11" t="s">
        <v>1643</v>
      </c>
      <c r="DR11" t="s">
        <v>1644</v>
      </c>
      <c r="DS11" t="s">
        <v>1645</v>
      </c>
      <c r="DT11" t="s">
        <v>1646</v>
      </c>
      <c r="DU11" t="s">
        <v>1647</v>
      </c>
      <c r="DV11" t="s">
        <v>1648</v>
      </c>
      <c r="DW11" t="s">
        <v>1649</v>
      </c>
      <c r="DX11" t="s">
        <v>1650</v>
      </c>
      <c r="DY11" t="s">
        <v>1651</v>
      </c>
      <c r="DZ11" t="s">
        <v>1652</v>
      </c>
      <c r="EA11" t="s">
        <v>1653</v>
      </c>
      <c r="EB11" t="s">
        <v>1654</v>
      </c>
      <c r="EC11" t="s">
        <v>1655</v>
      </c>
      <c r="ED11" t="s">
        <v>1656</v>
      </c>
      <c r="EE11" t="s">
        <v>1657</v>
      </c>
      <c r="EF11" t="s">
        <v>1658</v>
      </c>
      <c r="EG11" t="s">
        <v>1659</v>
      </c>
      <c r="EH11" t="s">
        <v>1660</v>
      </c>
      <c r="EI11" t="s">
        <v>1661</v>
      </c>
      <c r="EJ11" t="s">
        <v>1662</v>
      </c>
      <c r="EK11" t="s">
        <v>1663</v>
      </c>
      <c r="EL11" t="s">
        <v>1664</v>
      </c>
      <c r="EM11" t="s">
        <v>1665</v>
      </c>
      <c r="EN11" t="s">
        <v>1666</v>
      </c>
      <c r="EO11" t="s">
        <v>1667</v>
      </c>
      <c r="EP11" t="s">
        <v>1668</v>
      </c>
      <c r="EQ11" t="s">
        <v>1669</v>
      </c>
      <c r="ER11" t="s">
        <v>1670</v>
      </c>
      <c r="ES11" t="s">
        <v>1671</v>
      </c>
      <c r="ET11" t="s">
        <v>1672</v>
      </c>
      <c r="EU11" t="s">
        <v>1673</v>
      </c>
      <c r="EV11" t="s">
        <v>1674</v>
      </c>
      <c r="EW11" t="s">
        <v>1675</v>
      </c>
      <c r="EX11" t="s">
        <v>1676</v>
      </c>
      <c r="EY11" t="s">
        <v>1677</v>
      </c>
      <c r="EZ11" t="s">
        <v>1678</v>
      </c>
      <c r="FA11" t="s">
        <v>1679</v>
      </c>
      <c r="FB11" t="s">
        <v>1680</v>
      </c>
      <c r="FC11" t="s">
        <v>1681</v>
      </c>
      <c r="FD11" t="s">
        <v>1682</v>
      </c>
      <c r="FE11" t="s">
        <v>1683</v>
      </c>
      <c r="FF11" t="s">
        <v>1684</v>
      </c>
      <c r="FG11" t="s">
        <v>1685</v>
      </c>
      <c r="FH11" t="s">
        <v>1686</v>
      </c>
    </row>
    <row r="12" spans="1:164" ht="409.6">
      <c r="A12">
        <v>377</v>
      </c>
      <c r="B12" s="1" t="s">
        <v>1687</v>
      </c>
      <c r="C12" s="1" t="s">
        <v>1688</v>
      </c>
      <c r="D12" s="1" t="s">
        <v>1689</v>
      </c>
      <c r="E12" s="1" t="s">
        <v>1690</v>
      </c>
      <c r="F12" s="1">
        <v>2022</v>
      </c>
      <c r="G12" s="1" t="s">
        <v>1691</v>
      </c>
      <c r="H12" s="1" t="s">
        <v>325</v>
      </c>
      <c r="I12" s="1" t="s">
        <v>1692</v>
      </c>
      <c r="J12" s="6" t="s">
        <v>1693</v>
      </c>
      <c r="K12" s="1" t="s">
        <v>1694</v>
      </c>
      <c r="L12" s="6" t="s">
        <v>1695</v>
      </c>
      <c r="M12" s="1" t="s">
        <v>1696</v>
      </c>
      <c r="N12" s="1" t="s">
        <v>1697</v>
      </c>
      <c r="O12" s="1" t="s">
        <v>1698</v>
      </c>
      <c r="P12" s="1" t="s">
        <v>1699</v>
      </c>
      <c r="Q12" s="1" t="s">
        <v>1700</v>
      </c>
      <c r="R12" s="1" t="s">
        <v>1701</v>
      </c>
      <c r="S12" s="1" t="s">
        <v>1702</v>
      </c>
      <c r="T12" s="1" t="s">
        <v>1703</v>
      </c>
      <c r="U12" s="1" t="s">
        <v>1704</v>
      </c>
      <c r="V12" s="1" t="s">
        <v>1705</v>
      </c>
      <c r="W12" s="1" t="s">
        <v>1706</v>
      </c>
      <c r="X12" s="1" t="s">
        <v>1707</v>
      </c>
      <c r="Y12" s="1" t="s">
        <v>1708</v>
      </c>
      <c r="Z12" s="1" t="s">
        <v>1709</v>
      </c>
      <c r="AA12" s="1" t="s">
        <v>1710</v>
      </c>
      <c r="AB12" s="1" t="s">
        <v>1711</v>
      </c>
      <c r="AC12" s="1" t="s">
        <v>1712</v>
      </c>
      <c r="AD12" s="1" t="s">
        <v>1713</v>
      </c>
      <c r="AE12" s="1" t="s">
        <v>1714</v>
      </c>
      <c r="AF12" s="1" t="s">
        <v>1715</v>
      </c>
      <c r="AG12" s="1" t="s">
        <v>1716</v>
      </c>
      <c r="AH12" s="1" t="s">
        <v>1717</v>
      </c>
      <c r="AI12">
        <v>9</v>
      </c>
      <c r="AJ12" s="1" t="s">
        <v>1718</v>
      </c>
      <c r="AK12" s="1" t="s">
        <v>1719</v>
      </c>
      <c r="AL12" s="1" t="s">
        <v>1720</v>
      </c>
      <c r="AM12" s="1" t="s">
        <v>1721</v>
      </c>
      <c r="AN12" s="1" t="s">
        <v>1722</v>
      </c>
      <c r="AO12" s="1" t="s">
        <v>1723</v>
      </c>
      <c r="AP12" s="3" t="s">
        <v>1724</v>
      </c>
      <c r="AQ12" s="1" t="s">
        <v>1725</v>
      </c>
      <c r="AR12" s="1" t="s">
        <v>1726</v>
      </c>
      <c r="AS12" s="1" t="s">
        <v>1727</v>
      </c>
      <c r="AT12" s="1" t="s">
        <v>1728</v>
      </c>
      <c r="AU12" s="1" t="s">
        <v>1729</v>
      </c>
      <c r="AV12" s="1" t="s">
        <v>1730</v>
      </c>
      <c r="AW12" s="1" t="s">
        <v>1731</v>
      </c>
      <c r="AX12" s="1" t="s">
        <v>1732</v>
      </c>
      <c r="AY12" s="1" t="s">
        <v>368</v>
      </c>
      <c r="AZ12" s="1" t="s">
        <v>368</v>
      </c>
      <c r="BA12" s="1" t="s">
        <v>368</v>
      </c>
      <c r="BB12" s="1" t="s">
        <v>368</v>
      </c>
      <c r="BC12" s="1" t="s">
        <v>368</v>
      </c>
      <c r="BD12" s="1" t="s">
        <v>1733</v>
      </c>
      <c r="BE12" s="1" t="s">
        <v>1734</v>
      </c>
      <c r="BF12" s="1" t="s">
        <v>1735</v>
      </c>
      <c r="BG12" s="1" t="s">
        <v>1736</v>
      </c>
      <c r="BH12" s="1" t="s">
        <v>1737</v>
      </c>
      <c r="BI12" s="1" t="s">
        <v>1738</v>
      </c>
      <c r="BJ12" s="1" t="s">
        <v>1739</v>
      </c>
      <c r="BK12" s="1" t="s">
        <v>1740</v>
      </c>
      <c r="BL12" s="1" t="s">
        <v>1741</v>
      </c>
      <c r="BM12" s="1" t="s">
        <v>1742</v>
      </c>
      <c r="BN12" s="1" t="s">
        <v>1743</v>
      </c>
      <c r="BO12" s="1" t="s">
        <v>1744</v>
      </c>
      <c r="BP12" s="1" t="s">
        <v>1745</v>
      </c>
      <c r="BQ12" s="1" t="s">
        <v>1746</v>
      </c>
      <c r="BR12" s="1" t="s">
        <v>1747</v>
      </c>
      <c r="BS12" s="1" t="s">
        <v>1748</v>
      </c>
      <c r="BT12" s="1" t="s">
        <v>1749</v>
      </c>
      <c r="BU12" s="1" t="s">
        <v>1750</v>
      </c>
      <c r="BV12" s="1" t="s">
        <v>1751</v>
      </c>
      <c r="BW12" s="1" t="s">
        <v>1752</v>
      </c>
      <c r="BX12" s="1" t="s">
        <v>1753</v>
      </c>
      <c r="BY12" s="1" t="s">
        <v>1754</v>
      </c>
      <c r="BZ12" s="1" t="s">
        <v>1755</v>
      </c>
      <c r="CA12" s="1" t="s">
        <v>1756</v>
      </c>
      <c r="CB12" s="1" t="s">
        <v>1757</v>
      </c>
      <c r="CC12" s="1" t="s">
        <v>1758</v>
      </c>
      <c r="CD12" s="1" t="s">
        <v>1759</v>
      </c>
      <c r="CE12" s="1" t="s">
        <v>1760</v>
      </c>
      <c r="CF12" s="1" t="s">
        <v>1761</v>
      </c>
      <c r="CG12" s="1" t="s">
        <v>1762</v>
      </c>
      <c r="CH12" s="1" t="s">
        <v>1763</v>
      </c>
      <c r="CI12" s="1" t="s">
        <v>1764</v>
      </c>
      <c r="CJ12" s="1" t="s">
        <v>1765</v>
      </c>
      <c r="CK12" s="1" t="s">
        <v>1766</v>
      </c>
      <c r="CL12" s="1" t="s">
        <v>1767</v>
      </c>
      <c r="CM12" s="1" t="s">
        <v>1768</v>
      </c>
      <c r="CN12" s="1" t="s">
        <v>1769</v>
      </c>
      <c r="CO12" s="1" t="s">
        <v>1770</v>
      </c>
      <c r="CP12" s="1" t="s">
        <v>1771</v>
      </c>
      <c r="CQ12" s="1" t="s">
        <v>1772</v>
      </c>
      <c r="CR12" s="1" t="s">
        <v>1773</v>
      </c>
      <c r="CS12" s="1" t="s">
        <v>1774</v>
      </c>
      <c r="CT12" s="1" t="s">
        <v>1775</v>
      </c>
      <c r="CU12" s="1" t="s">
        <v>1776</v>
      </c>
      <c r="CV12" s="1" t="s">
        <v>1777</v>
      </c>
      <c r="CW12" s="1" t="s">
        <v>1778</v>
      </c>
      <c r="CX12" s="1" t="s">
        <v>1779</v>
      </c>
      <c r="CY12" s="1" t="s">
        <v>1780</v>
      </c>
      <c r="CZ12" s="1" t="s">
        <v>1781</v>
      </c>
      <c r="DA12" s="1" t="s">
        <v>1782</v>
      </c>
      <c r="DB12" s="1" t="s">
        <v>1783</v>
      </c>
      <c r="DC12" s="1" t="s">
        <v>1784</v>
      </c>
      <c r="DD12" s="1" t="s">
        <v>1785</v>
      </c>
      <c r="DE12" s="1" t="s">
        <v>1786</v>
      </c>
      <c r="DF12" s="1" t="s">
        <v>1787</v>
      </c>
      <c r="DG12" s="1" t="s">
        <v>1788</v>
      </c>
      <c r="DH12" s="1" t="s">
        <v>1789</v>
      </c>
      <c r="DI12" s="1" t="s">
        <v>1790</v>
      </c>
      <c r="DJ12" s="1" t="s">
        <v>1791</v>
      </c>
      <c r="DK12" s="1" t="s">
        <v>1792</v>
      </c>
      <c r="DL12" s="1" t="s">
        <v>1793</v>
      </c>
      <c r="DM12" s="1" t="s">
        <v>1794</v>
      </c>
      <c r="DN12" s="1" t="s">
        <v>1795</v>
      </c>
      <c r="DO12" s="1" t="s">
        <v>1796</v>
      </c>
      <c r="DP12" s="1" t="s">
        <v>1797</v>
      </c>
      <c r="DQ12" s="1" t="s">
        <v>1798</v>
      </c>
      <c r="DR12" s="1" t="s">
        <v>1799</v>
      </c>
      <c r="DS12" s="1" t="s">
        <v>1800</v>
      </c>
      <c r="DT12" s="1" t="s">
        <v>1801</v>
      </c>
      <c r="DU12" s="1" t="s">
        <v>1802</v>
      </c>
      <c r="DV12" s="1" t="s">
        <v>1803</v>
      </c>
      <c r="DW12" s="1" t="s">
        <v>1804</v>
      </c>
      <c r="DX12" s="1" t="s">
        <v>1805</v>
      </c>
      <c r="DY12" s="1" t="s">
        <v>1806</v>
      </c>
      <c r="DZ12" s="1" t="s">
        <v>1807</v>
      </c>
      <c r="EA12" s="1" t="s">
        <v>1808</v>
      </c>
      <c r="EB12" s="1" t="s">
        <v>1809</v>
      </c>
      <c r="EC12" s="1" t="s">
        <v>1810</v>
      </c>
      <c r="ED12" s="1" t="s">
        <v>1811</v>
      </c>
      <c r="EE12" s="1" t="s">
        <v>1812</v>
      </c>
      <c r="EF12" s="1" t="s">
        <v>1813</v>
      </c>
      <c r="EG12" s="1" t="s">
        <v>1814</v>
      </c>
      <c r="EH12" s="1" t="s">
        <v>1815</v>
      </c>
      <c r="EI12" s="1" t="s">
        <v>1816</v>
      </c>
      <c r="EJ12" s="1" t="s">
        <v>1817</v>
      </c>
      <c r="EK12" s="1" t="s">
        <v>1818</v>
      </c>
      <c r="EL12" s="1" t="s">
        <v>1819</v>
      </c>
      <c r="EM12" s="1" t="s">
        <v>1820</v>
      </c>
      <c r="EN12" s="1" t="s">
        <v>1821</v>
      </c>
      <c r="EO12" s="1" t="s">
        <v>1822</v>
      </c>
      <c r="EP12" s="1" t="s">
        <v>1823</v>
      </c>
      <c r="EQ12" s="1" t="s">
        <v>323</v>
      </c>
      <c r="ER12" s="1" t="s">
        <v>1824</v>
      </c>
      <c r="ES12" s="1" t="s">
        <v>1825</v>
      </c>
      <c r="ET12" s="1" t="s">
        <v>1826</v>
      </c>
      <c r="EU12" s="1" t="s">
        <v>1827</v>
      </c>
      <c r="EV12" s="1" t="s">
        <v>1828</v>
      </c>
      <c r="EW12" s="1" t="s">
        <v>1829</v>
      </c>
      <c r="EX12" s="1" t="s">
        <v>1830</v>
      </c>
      <c r="EY12" s="1" t="s">
        <v>1831</v>
      </c>
      <c r="EZ12" s="1" t="s">
        <v>1832</v>
      </c>
      <c r="FA12" s="1" t="s">
        <v>1833</v>
      </c>
      <c r="FB12" s="1" t="s">
        <v>1834</v>
      </c>
      <c r="FC12" s="1" t="s">
        <v>1835</v>
      </c>
      <c r="FD12" s="1" t="s">
        <v>1836</v>
      </c>
      <c r="FE12" s="1" t="s">
        <v>1837</v>
      </c>
      <c r="FF12" s="1" t="s">
        <v>1838</v>
      </c>
      <c r="FG12" s="1" t="s">
        <v>1839</v>
      </c>
      <c r="FH12" s="1" t="s">
        <v>1840</v>
      </c>
    </row>
    <row r="13" spans="1:164" ht="409.6">
      <c r="A13">
        <v>378</v>
      </c>
      <c r="B13" s="1" t="s">
        <v>1841</v>
      </c>
      <c r="C13" s="1" t="s">
        <v>1842</v>
      </c>
      <c r="D13" s="1" t="s">
        <v>1843</v>
      </c>
      <c r="E13" s="1" t="s">
        <v>1844</v>
      </c>
      <c r="F13" s="1">
        <v>1990</v>
      </c>
      <c r="G13" s="1" t="s">
        <v>1845</v>
      </c>
      <c r="H13" s="1" t="s">
        <v>1846</v>
      </c>
      <c r="I13" s="1" t="s">
        <v>1847</v>
      </c>
      <c r="J13" s="4" t="s">
        <v>1848</v>
      </c>
      <c r="K13" s="1" t="s">
        <v>1849</v>
      </c>
      <c r="L13" s="4" t="s">
        <v>1850</v>
      </c>
      <c r="M13" s="1" t="s">
        <v>1851</v>
      </c>
      <c r="N13" s="1" t="s">
        <v>1852</v>
      </c>
      <c r="O13" s="1" t="s">
        <v>1853</v>
      </c>
      <c r="P13" s="1" t="s">
        <v>1854</v>
      </c>
      <c r="Q13" s="1" t="s">
        <v>1855</v>
      </c>
      <c r="R13" s="1" t="s">
        <v>1856</v>
      </c>
      <c r="S13" s="1" t="s">
        <v>1857</v>
      </c>
      <c r="T13" s="1" t="s">
        <v>1858</v>
      </c>
      <c r="U13" s="1" t="s">
        <v>1859</v>
      </c>
      <c r="V13" s="1" t="s">
        <v>1860</v>
      </c>
      <c r="W13" s="1" t="s">
        <v>1861</v>
      </c>
      <c r="X13" s="1" t="s">
        <v>1862</v>
      </c>
      <c r="Y13" s="1" t="s">
        <v>1863</v>
      </c>
      <c r="Z13" s="1" t="s">
        <v>1864</v>
      </c>
      <c r="AA13" s="1" t="s">
        <v>1865</v>
      </c>
      <c r="AB13" s="1" t="s">
        <v>1866</v>
      </c>
      <c r="AC13" s="1" t="s">
        <v>1867</v>
      </c>
      <c r="AD13" s="1" t="s">
        <v>1868</v>
      </c>
      <c r="AE13" s="1" t="s">
        <v>1869</v>
      </c>
      <c r="AF13" s="1" t="s">
        <v>1870</v>
      </c>
      <c r="AG13" s="1" t="s">
        <v>1871</v>
      </c>
      <c r="AH13" s="1" t="s">
        <v>1872</v>
      </c>
      <c r="AI13">
        <v>7.8</v>
      </c>
      <c r="AJ13" s="1" t="s">
        <v>1873</v>
      </c>
      <c r="AK13" s="1" t="s">
        <v>1874</v>
      </c>
      <c r="AL13" s="1" t="s">
        <v>1875</v>
      </c>
      <c r="AM13" s="1" t="s">
        <v>1876</v>
      </c>
      <c r="AN13" s="1" t="s">
        <v>1877</v>
      </c>
      <c r="AO13" s="1" t="s">
        <v>1878</v>
      </c>
      <c r="AP13" s="3" t="s">
        <v>1879</v>
      </c>
      <c r="AQ13" s="1" t="s">
        <v>1880</v>
      </c>
      <c r="AR13" s="1" t="s">
        <v>1881</v>
      </c>
      <c r="AS13" s="1" t="s">
        <v>1882</v>
      </c>
      <c r="AT13" s="1" t="s">
        <v>1883</v>
      </c>
      <c r="AU13" s="1" t="s">
        <v>1884</v>
      </c>
      <c r="AV13" s="1" t="s">
        <v>1885</v>
      </c>
      <c r="AW13" s="1" t="s">
        <v>1886</v>
      </c>
      <c r="AX13" s="1" t="s">
        <v>1887</v>
      </c>
      <c r="AY13" s="1">
        <f>91-20-6703-0</f>
        <v>-6632</v>
      </c>
      <c r="AZ13" s="1" t="s">
        <v>1888</v>
      </c>
      <c r="BA13" s="1" t="s">
        <v>1889</v>
      </c>
      <c r="BB13" s="1" t="s">
        <v>1887</v>
      </c>
      <c r="BC13" s="1">
        <f>91-20-6703-0</f>
        <v>-6632</v>
      </c>
      <c r="BD13" s="1" t="s">
        <v>1890</v>
      </c>
      <c r="BE13" s="1" t="s">
        <v>1891</v>
      </c>
      <c r="BF13" s="1" t="s">
        <v>1892</v>
      </c>
      <c r="BG13" s="1" t="s">
        <v>1893</v>
      </c>
      <c r="BH13" s="1" t="s">
        <v>1894</v>
      </c>
      <c r="BI13" s="1" t="s">
        <v>1895</v>
      </c>
      <c r="BJ13" s="1" t="s">
        <v>1896</v>
      </c>
      <c r="BK13" s="1" t="s">
        <v>1897</v>
      </c>
      <c r="BL13" s="1" t="s">
        <v>1898</v>
      </c>
      <c r="BM13" s="1" t="s">
        <v>1899</v>
      </c>
      <c r="BN13" s="1" t="s">
        <v>1450</v>
      </c>
      <c r="BO13" s="1" t="s">
        <v>1900</v>
      </c>
      <c r="BP13" s="1" t="s">
        <v>1901</v>
      </c>
      <c r="BQ13" s="1" t="s">
        <v>1902</v>
      </c>
      <c r="BR13" s="1" t="s">
        <v>1903</v>
      </c>
      <c r="BS13" s="1" t="s">
        <v>1904</v>
      </c>
      <c r="BT13" s="1" t="s">
        <v>1905</v>
      </c>
      <c r="BU13" s="1" t="s">
        <v>1906</v>
      </c>
      <c r="BV13" s="1" t="s">
        <v>1907</v>
      </c>
      <c r="BW13" s="1" t="s">
        <v>1908</v>
      </c>
      <c r="BX13" s="1" t="s">
        <v>1909</v>
      </c>
      <c r="BY13" s="1" t="s">
        <v>1910</v>
      </c>
      <c r="BZ13" s="1" t="s">
        <v>1911</v>
      </c>
      <c r="CA13" s="1" t="s">
        <v>1912</v>
      </c>
      <c r="CB13" s="1" t="s">
        <v>1913</v>
      </c>
      <c r="CC13" s="1" t="s">
        <v>1914</v>
      </c>
      <c r="CD13" s="1" t="s">
        <v>1915</v>
      </c>
      <c r="CE13" s="1" t="s">
        <v>1916</v>
      </c>
      <c r="CF13" s="1" t="s">
        <v>1917</v>
      </c>
      <c r="CG13" s="1" t="s">
        <v>1918</v>
      </c>
      <c r="CH13" s="1" t="s">
        <v>1919</v>
      </c>
      <c r="CI13" s="1" t="s">
        <v>1920</v>
      </c>
      <c r="CJ13" s="1" t="s">
        <v>1921</v>
      </c>
      <c r="CK13" s="1" t="s">
        <v>1922</v>
      </c>
      <c r="CL13" s="1" t="s">
        <v>1923</v>
      </c>
      <c r="CM13" s="1" t="s">
        <v>1924</v>
      </c>
      <c r="CN13" s="1" t="s">
        <v>1925</v>
      </c>
      <c r="CO13" s="1" t="s">
        <v>1926</v>
      </c>
      <c r="CP13" s="1" t="s">
        <v>1927</v>
      </c>
      <c r="CQ13" s="1" t="s">
        <v>1928</v>
      </c>
      <c r="CR13" s="1" t="s">
        <v>1929</v>
      </c>
      <c r="CS13" s="1" t="s">
        <v>1930</v>
      </c>
      <c r="CT13" s="1" t="s">
        <v>1931</v>
      </c>
      <c r="CU13" s="1" t="s">
        <v>1932</v>
      </c>
      <c r="CV13" s="1" t="s">
        <v>1933</v>
      </c>
      <c r="CW13" s="1" t="s">
        <v>1934</v>
      </c>
      <c r="CX13" s="1" t="s">
        <v>1935</v>
      </c>
      <c r="CY13" s="1" t="s">
        <v>1936</v>
      </c>
      <c r="CZ13" s="1" t="s">
        <v>1937</v>
      </c>
      <c r="DA13" s="1" t="s">
        <v>1938</v>
      </c>
      <c r="DB13" s="1" t="s">
        <v>1939</v>
      </c>
      <c r="DC13" s="1" t="s">
        <v>1940</v>
      </c>
      <c r="DD13" s="1" t="s">
        <v>1941</v>
      </c>
      <c r="DE13" s="1" t="s">
        <v>1942</v>
      </c>
      <c r="DF13" s="1" t="s">
        <v>1943</v>
      </c>
      <c r="DG13" s="1" t="s">
        <v>1944</v>
      </c>
      <c r="DH13" s="1" t="s">
        <v>1945</v>
      </c>
      <c r="DI13" s="1" t="s">
        <v>1946</v>
      </c>
      <c r="DJ13" s="1" t="s">
        <v>1947</v>
      </c>
      <c r="DK13" s="1" t="s">
        <v>1948</v>
      </c>
      <c r="DL13" s="1" t="s">
        <v>1949</v>
      </c>
      <c r="DM13" s="1" t="s">
        <v>1950</v>
      </c>
      <c r="DN13" s="1" t="s">
        <v>1951</v>
      </c>
      <c r="DO13" s="1" t="s">
        <v>1952</v>
      </c>
      <c r="DP13" s="1" t="s">
        <v>1953</v>
      </c>
      <c r="DQ13" s="1" t="s">
        <v>1954</v>
      </c>
      <c r="DR13" s="1" t="s">
        <v>1955</v>
      </c>
      <c r="DS13" s="1" t="s">
        <v>1956</v>
      </c>
      <c r="DT13" s="1" t="s">
        <v>1957</v>
      </c>
      <c r="DU13" s="1" t="s">
        <v>1958</v>
      </c>
      <c r="DV13" s="1" t="s">
        <v>1959</v>
      </c>
      <c r="DW13" s="1" t="s">
        <v>1960</v>
      </c>
      <c r="DX13" s="1" t="s">
        <v>1961</v>
      </c>
      <c r="DY13" s="1" t="s">
        <v>1962</v>
      </c>
      <c r="DZ13" s="1" t="s">
        <v>1963</v>
      </c>
      <c r="EA13" s="1" t="s">
        <v>1964</v>
      </c>
      <c r="EB13" s="1" t="s">
        <v>1965</v>
      </c>
      <c r="EC13" s="1" t="s">
        <v>1966</v>
      </c>
      <c r="ED13" s="1" t="s">
        <v>1967</v>
      </c>
      <c r="EE13" s="1" t="s">
        <v>1968</v>
      </c>
      <c r="EF13" s="1" t="s">
        <v>1969</v>
      </c>
      <c r="EG13" s="1" t="s">
        <v>1970</v>
      </c>
      <c r="EH13" s="1" t="s">
        <v>1971</v>
      </c>
      <c r="EI13" s="1" t="s">
        <v>1972</v>
      </c>
      <c r="EJ13" s="1" t="s">
        <v>1973</v>
      </c>
      <c r="EK13" s="1" t="s">
        <v>1974</v>
      </c>
      <c r="EL13" s="1" t="s">
        <v>1975</v>
      </c>
      <c r="EM13" s="1" t="s">
        <v>1976</v>
      </c>
      <c r="EN13" s="1" t="s">
        <v>1977</v>
      </c>
      <c r="EO13" s="1" t="s">
        <v>1978</v>
      </c>
      <c r="EP13" s="1" t="s">
        <v>1979</v>
      </c>
      <c r="EQ13" s="1" t="s">
        <v>1980</v>
      </c>
      <c r="ER13" s="1" t="s">
        <v>1981</v>
      </c>
      <c r="ES13" s="1" t="s">
        <v>1982</v>
      </c>
      <c r="ET13" s="1" t="s">
        <v>1983</v>
      </c>
      <c r="EU13" s="1" t="s">
        <v>1984</v>
      </c>
      <c r="EV13" s="1" t="s">
        <v>1985</v>
      </c>
      <c r="EW13" s="1" t="s">
        <v>1986</v>
      </c>
      <c r="EX13" s="1" t="s">
        <v>1987</v>
      </c>
      <c r="EY13" s="1" t="s">
        <v>1988</v>
      </c>
      <c r="EZ13" s="1" t="s">
        <v>1989</v>
      </c>
      <c r="FA13" s="1" t="s">
        <v>1990</v>
      </c>
      <c r="FB13" s="1" t="s">
        <v>1991</v>
      </c>
      <c r="FC13" s="1" t="s">
        <v>1992</v>
      </c>
      <c r="FD13" s="1" t="s">
        <v>1993</v>
      </c>
      <c r="FE13" s="1" t="s">
        <v>1994</v>
      </c>
      <c r="FF13" s="1" t="s">
        <v>1995</v>
      </c>
      <c r="FG13" s="1" t="s">
        <v>1996</v>
      </c>
      <c r="FH13" s="1" t="s">
        <v>1997</v>
      </c>
    </row>
    <row r="14" spans="1:164" ht="409.6">
      <c r="A14">
        <v>379</v>
      </c>
      <c r="B14" s="1" t="s">
        <v>1998</v>
      </c>
      <c r="C14" s="1" t="s">
        <v>1999</v>
      </c>
      <c r="D14" s="1" t="s">
        <v>2000</v>
      </c>
      <c r="E14" s="1" t="s">
        <v>2001</v>
      </c>
      <c r="F14" s="1">
        <v>2015</v>
      </c>
      <c r="G14" s="1" t="s">
        <v>2002</v>
      </c>
      <c r="H14" s="1" t="s">
        <v>2003</v>
      </c>
      <c r="I14" s="1" t="s">
        <v>2004</v>
      </c>
      <c r="J14" s="6" t="s">
        <v>1534</v>
      </c>
      <c r="K14" s="1" t="s">
        <v>2005</v>
      </c>
      <c r="L14" s="6" t="s">
        <v>2006</v>
      </c>
      <c r="M14" s="1" t="s">
        <v>2007</v>
      </c>
      <c r="N14" s="1" t="s">
        <v>2008</v>
      </c>
      <c r="O14" s="1" t="s">
        <v>2009</v>
      </c>
      <c r="P14" s="1" t="s">
        <v>2010</v>
      </c>
      <c r="Q14" s="1" t="s">
        <v>2011</v>
      </c>
      <c r="R14" s="1" t="s">
        <v>2012</v>
      </c>
      <c r="S14" s="1" t="s">
        <v>2013</v>
      </c>
      <c r="T14" s="1" t="s">
        <v>2014</v>
      </c>
      <c r="U14" s="1" t="s">
        <v>2015</v>
      </c>
      <c r="V14" s="1" t="s">
        <v>2016</v>
      </c>
      <c r="W14" s="1" t="s">
        <v>2017</v>
      </c>
      <c r="X14" s="1" t="s">
        <v>2018</v>
      </c>
      <c r="Y14" s="1" t="s">
        <v>2019</v>
      </c>
      <c r="Z14" s="1" t="s">
        <v>2020</v>
      </c>
      <c r="AA14" s="1" t="s">
        <v>2021</v>
      </c>
      <c r="AB14" s="1" t="s">
        <v>2022</v>
      </c>
      <c r="AC14" s="1" t="s">
        <v>2023</v>
      </c>
      <c r="AD14" s="1" t="s">
        <v>2024</v>
      </c>
      <c r="AE14" s="1" t="s">
        <v>2025</v>
      </c>
      <c r="AF14" s="1" t="s">
        <v>2026</v>
      </c>
      <c r="AG14" s="1" t="s">
        <v>2027</v>
      </c>
      <c r="AH14" s="1" t="s">
        <v>2028</v>
      </c>
      <c r="AI14">
        <v>7.2</v>
      </c>
      <c r="AJ14" s="1" t="s">
        <v>2029</v>
      </c>
      <c r="AK14" s="1" t="s">
        <v>2030</v>
      </c>
      <c r="AL14" s="1" t="s">
        <v>512</v>
      </c>
      <c r="AM14" s="1" t="s">
        <v>2031</v>
      </c>
      <c r="AN14" s="1" t="s">
        <v>815</v>
      </c>
      <c r="AO14" s="1" t="s">
        <v>2032</v>
      </c>
      <c r="AP14" s="3" t="s">
        <v>2033</v>
      </c>
      <c r="AQ14" s="1" t="s">
        <v>2034</v>
      </c>
      <c r="AR14" s="1" t="s">
        <v>2035</v>
      </c>
      <c r="AS14" s="1" t="s">
        <v>2036</v>
      </c>
      <c r="AT14" s="1" t="s">
        <v>2037</v>
      </c>
      <c r="AU14" s="1" t="s">
        <v>2038</v>
      </c>
      <c r="AV14" s="1" t="s">
        <v>2039</v>
      </c>
      <c r="AW14" s="1" t="s">
        <v>2040</v>
      </c>
      <c r="AX14" s="1" t="s">
        <v>2041</v>
      </c>
      <c r="AY14" s="1" t="s">
        <v>2042</v>
      </c>
      <c r="AZ14" s="1" t="s">
        <v>368</v>
      </c>
      <c r="BA14" s="1" t="s">
        <v>368</v>
      </c>
      <c r="BB14" s="1" t="s">
        <v>368</v>
      </c>
      <c r="BC14" s="1" t="s">
        <v>368</v>
      </c>
      <c r="BD14" s="1" t="s">
        <v>2043</v>
      </c>
      <c r="BE14" s="1" t="s">
        <v>2044</v>
      </c>
      <c r="BF14" s="1" t="s">
        <v>2045</v>
      </c>
      <c r="BG14" s="1" t="s">
        <v>2046</v>
      </c>
      <c r="BH14" s="1" t="s">
        <v>2047</v>
      </c>
      <c r="BI14" s="1" t="s">
        <v>2048</v>
      </c>
      <c r="BJ14" s="1" t="s">
        <v>2049</v>
      </c>
      <c r="BK14" s="1" t="s">
        <v>2050</v>
      </c>
      <c r="BL14" s="1" t="s">
        <v>2051</v>
      </c>
      <c r="BM14" s="1" t="s">
        <v>2052</v>
      </c>
      <c r="BN14" s="1" t="s">
        <v>2053</v>
      </c>
      <c r="BO14" s="1" t="s">
        <v>2054</v>
      </c>
      <c r="BP14" s="1" t="s">
        <v>2055</v>
      </c>
      <c r="BQ14" s="1" t="s">
        <v>2056</v>
      </c>
      <c r="BR14" s="1" t="s">
        <v>2057</v>
      </c>
      <c r="BS14" s="1" t="s">
        <v>2058</v>
      </c>
      <c r="BT14" s="1" t="s">
        <v>2059</v>
      </c>
      <c r="BU14" s="1" t="s">
        <v>2060</v>
      </c>
      <c r="BV14" s="1" t="s">
        <v>2061</v>
      </c>
      <c r="BW14" s="8">
        <v>4.5138888888888888E-2</v>
      </c>
      <c r="BX14" s="1" t="s">
        <v>2062</v>
      </c>
      <c r="BY14" s="1" t="s">
        <v>2063</v>
      </c>
      <c r="BZ14" s="1" t="s">
        <v>2064</v>
      </c>
      <c r="CA14" s="1" t="s">
        <v>2065</v>
      </c>
      <c r="CB14" s="1" t="s">
        <v>2066</v>
      </c>
      <c r="CC14" s="1" t="s">
        <v>2067</v>
      </c>
      <c r="CD14" s="1" t="s">
        <v>2068</v>
      </c>
      <c r="CE14" s="1" t="s">
        <v>1916</v>
      </c>
      <c r="CF14" s="1" t="s">
        <v>1917</v>
      </c>
      <c r="CG14" s="1" t="s">
        <v>2069</v>
      </c>
      <c r="CH14" s="1" t="s">
        <v>1919</v>
      </c>
      <c r="CI14" s="1" t="s">
        <v>2070</v>
      </c>
      <c r="CJ14" s="1" t="s">
        <v>1921</v>
      </c>
      <c r="CK14" s="1" t="s">
        <v>2071</v>
      </c>
      <c r="CL14" s="1" t="s">
        <v>1923</v>
      </c>
      <c r="CM14" s="1" t="s">
        <v>1924</v>
      </c>
      <c r="CN14" s="1" t="s">
        <v>1925</v>
      </c>
      <c r="CO14" s="1" t="s">
        <v>2072</v>
      </c>
      <c r="CP14" s="1" t="s">
        <v>2073</v>
      </c>
      <c r="CQ14" s="1" t="s">
        <v>1928</v>
      </c>
      <c r="CR14" s="1" t="s">
        <v>1929</v>
      </c>
      <c r="CS14" s="1" t="s">
        <v>1930</v>
      </c>
      <c r="CT14" s="1" t="s">
        <v>1931</v>
      </c>
      <c r="CU14" s="1" t="s">
        <v>2074</v>
      </c>
      <c r="CV14" s="1" t="s">
        <v>2075</v>
      </c>
      <c r="CW14" s="1" t="s">
        <v>2076</v>
      </c>
      <c r="CX14" s="1" t="s">
        <v>2077</v>
      </c>
      <c r="CY14" s="1" t="s">
        <v>2078</v>
      </c>
      <c r="CZ14" s="1" t="s">
        <v>2079</v>
      </c>
      <c r="DA14" s="1" t="s">
        <v>2080</v>
      </c>
      <c r="DB14" s="1" t="s">
        <v>2081</v>
      </c>
      <c r="DC14" s="1" t="s">
        <v>2082</v>
      </c>
      <c r="DD14" s="1" t="s">
        <v>1941</v>
      </c>
      <c r="DE14" s="1" t="s">
        <v>2083</v>
      </c>
      <c r="DF14" s="1" t="s">
        <v>1943</v>
      </c>
      <c r="DG14" s="1" t="s">
        <v>1944</v>
      </c>
      <c r="DH14" s="1" t="s">
        <v>2084</v>
      </c>
      <c r="DI14" s="1" t="s">
        <v>1946</v>
      </c>
      <c r="DJ14" s="1" t="s">
        <v>1947</v>
      </c>
      <c r="DK14" s="1" t="s">
        <v>1948</v>
      </c>
      <c r="DL14" s="1" t="s">
        <v>1949</v>
      </c>
      <c r="DM14" s="1" t="s">
        <v>1950</v>
      </c>
      <c r="DN14" s="1" t="s">
        <v>1951</v>
      </c>
      <c r="DO14" s="1" t="s">
        <v>1952</v>
      </c>
      <c r="DP14" s="1" t="s">
        <v>1953</v>
      </c>
      <c r="DQ14" s="1" t="s">
        <v>1954</v>
      </c>
      <c r="DR14" s="1" t="s">
        <v>1955</v>
      </c>
      <c r="DS14" s="1" t="s">
        <v>1956</v>
      </c>
      <c r="DT14" s="1" t="s">
        <v>1957</v>
      </c>
      <c r="DU14" s="1" t="s">
        <v>1958</v>
      </c>
      <c r="DV14" s="1" t="s">
        <v>1959</v>
      </c>
      <c r="DW14" s="1" t="s">
        <v>1960</v>
      </c>
      <c r="DX14" s="1" t="s">
        <v>1961</v>
      </c>
      <c r="DY14" s="1" t="s">
        <v>1962</v>
      </c>
      <c r="DZ14" s="1" t="s">
        <v>1963</v>
      </c>
      <c r="EA14" s="1" t="s">
        <v>1964</v>
      </c>
      <c r="EB14" s="1" t="s">
        <v>2085</v>
      </c>
      <c r="EC14" s="1" t="s">
        <v>1966</v>
      </c>
      <c r="ED14" s="1" t="s">
        <v>1967</v>
      </c>
      <c r="EE14" s="1" t="s">
        <v>1968</v>
      </c>
      <c r="EF14" s="1" t="s">
        <v>1969</v>
      </c>
      <c r="EG14" s="1" t="s">
        <v>1970</v>
      </c>
      <c r="EH14" s="1" t="s">
        <v>1971</v>
      </c>
      <c r="EI14" s="1" t="s">
        <v>1972</v>
      </c>
      <c r="EJ14" s="1" t="s">
        <v>1973</v>
      </c>
      <c r="EK14" s="1" t="s">
        <v>1974</v>
      </c>
      <c r="EL14" s="1" t="s">
        <v>1975</v>
      </c>
      <c r="EM14" s="1" t="s">
        <v>1976</v>
      </c>
      <c r="EN14" s="1" t="s">
        <v>1977</v>
      </c>
      <c r="EO14" s="1" t="s">
        <v>1978</v>
      </c>
      <c r="EP14" s="1" t="s">
        <v>1979</v>
      </c>
      <c r="EQ14" s="1" t="s">
        <v>1980</v>
      </c>
      <c r="ER14" s="1" t="s">
        <v>2086</v>
      </c>
      <c r="ES14" s="1" t="s">
        <v>1982</v>
      </c>
      <c r="ET14" s="1" t="s">
        <v>1983</v>
      </c>
      <c r="EU14" s="1" t="s">
        <v>1984</v>
      </c>
      <c r="EV14" s="1" t="s">
        <v>1985</v>
      </c>
      <c r="EW14" s="1" t="s">
        <v>1986</v>
      </c>
      <c r="EX14" s="1" t="s">
        <v>1987</v>
      </c>
      <c r="EY14" s="1" t="s">
        <v>1988</v>
      </c>
      <c r="EZ14" s="1" t="s">
        <v>1989</v>
      </c>
      <c r="FA14" s="1" t="s">
        <v>1990</v>
      </c>
      <c r="FB14" s="1" t="s">
        <v>1991</v>
      </c>
      <c r="FC14" s="1" t="s">
        <v>1992</v>
      </c>
      <c r="FD14" s="1" t="s">
        <v>1993</v>
      </c>
      <c r="FE14" s="1" t="s">
        <v>1994</v>
      </c>
      <c r="FF14" s="1" t="s">
        <v>1995</v>
      </c>
      <c r="FG14" s="1" t="s">
        <v>1996</v>
      </c>
      <c r="FH14" s="1" t="s">
        <v>1997</v>
      </c>
    </row>
    <row r="15" spans="1:164" ht="409.6">
      <c r="A15">
        <v>380</v>
      </c>
      <c r="B15" s="1" t="s">
        <v>2087</v>
      </c>
      <c r="C15" s="1" t="s">
        <v>2088</v>
      </c>
      <c r="D15" s="5" t="s">
        <v>2089</v>
      </c>
      <c r="E15" s="1" t="s">
        <v>2090</v>
      </c>
      <c r="F15" s="1" t="s">
        <v>2091</v>
      </c>
      <c r="G15" s="1" t="s">
        <v>2092</v>
      </c>
      <c r="H15" s="1" t="s">
        <v>2093</v>
      </c>
      <c r="I15" s="1" t="s">
        <v>2094</v>
      </c>
      <c r="J15" s="4" t="s">
        <v>2095</v>
      </c>
      <c r="K15" s="1" t="s">
        <v>2096</v>
      </c>
      <c r="L15" s="4" t="s">
        <v>2097</v>
      </c>
      <c r="M15" s="1" t="s">
        <v>2098</v>
      </c>
      <c r="N15" s="1" t="s">
        <v>2099</v>
      </c>
      <c r="O15" s="1" t="s">
        <v>2100</v>
      </c>
      <c r="P15" s="1" t="s">
        <v>2101</v>
      </c>
      <c r="Q15" s="1" t="s">
        <v>2102</v>
      </c>
      <c r="R15" s="1" t="s">
        <v>2103</v>
      </c>
      <c r="S15" s="1" t="s">
        <v>2104</v>
      </c>
      <c r="T15" s="1" t="s">
        <v>2105</v>
      </c>
      <c r="U15" s="1" t="s">
        <v>2106</v>
      </c>
      <c r="V15" s="1" t="s">
        <v>2107</v>
      </c>
      <c r="W15" s="1" t="s">
        <v>2108</v>
      </c>
      <c r="X15" s="1" t="s">
        <v>2109</v>
      </c>
      <c r="Y15" s="1" t="s">
        <v>2110</v>
      </c>
      <c r="Z15" s="1" t="s">
        <v>2111</v>
      </c>
      <c r="AA15" s="1" t="s">
        <v>2112</v>
      </c>
      <c r="AB15" s="1" t="s">
        <v>2113</v>
      </c>
      <c r="AC15" s="1" t="s">
        <v>2114</v>
      </c>
      <c r="AD15" s="1" t="s">
        <v>2115</v>
      </c>
      <c r="AE15" s="1" t="s">
        <v>2116</v>
      </c>
      <c r="AF15" s="1" t="s">
        <v>2117</v>
      </c>
      <c r="AG15" s="1" t="s">
        <v>2118</v>
      </c>
      <c r="AH15" s="1" t="s">
        <v>2119</v>
      </c>
      <c r="AI15">
        <v>8.3000000000000007</v>
      </c>
      <c r="AJ15" s="1" t="s">
        <v>2120</v>
      </c>
      <c r="AK15" s="1" t="s">
        <v>2121</v>
      </c>
      <c r="AL15" s="1" t="s">
        <v>2122</v>
      </c>
      <c r="AM15" s="1" t="s">
        <v>813</v>
      </c>
      <c r="AN15" s="1" t="s">
        <v>2123</v>
      </c>
      <c r="AO15" s="1" t="s">
        <v>2124</v>
      </c>
      <c r="AP15" s="3" t="s">
        <v>2125</v>
      </c>
      <c r="AQ15" s="1" t="s">
        <v>2126</v>
      </c>
      <c r="AR15" s="1" t="s">
        <v>2127</v>
      </c>
      <c r="AS15" s="1" t="s">
        <v>2128</v>
      </c>
      <c r="AT15" s="1" t="s">
        <v>2129</v>
      </c>
      <c r="AU15" s="1" t="s">
        <v>2130</v>
      </c>
      <c r="AV15" s="1" t="s">
        <v>2131</v>
      </c>
      <c r="AW15" s="1" t="s">
        <v>2132</v>
      </c>
      <c r="AX15" s="1" t="s">
        <v>2133</v>
      </c>
      <c r="AY15" s="1" t="s">
        <v>2134</v>
      </c>
      <c r="AZ15" s="1" t="s">
        <v>368</v>
      </c>
      <c r="BA15" s="1" t="s">
        <v>368</v>
      </c>
      <c r="BB15" s="1" t="s">
        <v>368</v>
      </c>
      <c r="BC15" s="1" t="s">
        <v>368</v>
      </c>
      <c r="BD15" s="1" t="s">
        <v>2135</v>
      </c>
      <c r="BE15" s="1" t="s">
        <v>2136</v>
      </c>
      <c r="BF15" s="1" t="s">
        <v>2137</v>
      </c>
      <c r="BG15" s="1" t="s">
        <v>2138</v>
      </c>
      <c r="BH15" s="1" t="s">
        <v>2139</v>
      </c>
      <c r="BI15" s="1" t="s">
        <v>2140</v>
      </c>
      <c r="BJ15" s="1" t="s">
        <v>2141</v>
      </c>
      <c r="BK15" s="1" t="s">
        <v>2142</v>
      </c>
      <c r="BL15" s="1" t="s">
        <v>2143</v>
      </c>
      <c r="BM15" s="1" t="s">
        <v>2144</v>
      </c>
      <c r="BN15" s="1" t="s">
        <v>2145</v>
      </c>
      <c r="BO15" s="1" t="s">
        <v>2146</v>
      </c>
      <c r="BP15" s="1" t="s">
        <v>2147</v>
      </c>
      <c r="BQ15" s="1" t="s">
        <v>2148</v>
      </c>
      <c r="BR15" s="1" t="s">
        <v>2149</v>
      </c>
      <c r="BS15" s="1" t="s">
        <v>2150</v>
      </c>
      <c r="BT15" s="1" t="s">
        <v>2151</v>
      </c>
      <c r="BU15" s="1" t="s">
        <v>2152</v>
      </c>
      <c r="BV15" s="1" t="s">
        <v>2153</v>
      </c>
      <c r="BW15" s="8">
        <v>5.2777777777777778E-2</v>
      </c>
      <c r="BX15" s="1" t="s">
        <v>2154</v>
      </c>
      <c r="BY15" s="1" t="s">
        <v>2155</v>
      </c>
      <c r="BZ15" s="1" t="s">
        <v>2156</v>
      </c>
      <c r="CA15" s="1" t="s">
        <v>1005</v>
      </c>
      <c r="CB15" s="1" t="s">
        <v>2157</v>
      </c>
      <c r="CC15" s="1" t="s">
        <v>2158</v>
      </c>
      <c r="CD15" s="1" t="s">
        <v>2159</v>
      </c>
      <c r="CE15" s="1" t="s">
        <v>2160</v>
      </c>
      <c r="CF15" s="1" t="s">
        <v>2161</v>
      </c>
      <c r="CG15" s="1" t="s">
        <v>2162</v>
      </c>
      <c r="CH15" s="1" t="s">
        <v>2163</v>
      </c>
      <c r="CI15" s="1" t="s">
        <v>2164</v>
      </c>
      <c r="CJ15" s="1" t="s">
        <v>2165</v>
      </c>
      <c r="CK15" s="1" t="s">
        <v>2166</v>
      </c>
      <c r="CL15" s="1" t="s">
        <v>2167</v>
      </c>
      <c r="CM15" s="1" t="s">
        <v>2168</v>
      </c>
      <c r="CN15" s="1" t="s">
        <v>2169</v>
      </c>
      <c r="CO15" s="1" t="s">
        <v>2170</v>
      </c>
      <c r="CP15" s="1" t="s">
        <v>2171</v>
      </c>
      <c r="CQ15" s="1" t="s">
        <v>2172</v>
      </c>
      <c r="CR15" s="1" t="s">
        <v>2173</v>
      </c>
      <c r="CS15" s="1" t="s">
        <v>2174</v>
      </c>
      <c r="CT15" s="1" t="s">
        <v>2175</v>
      </c>
      <c r="CU15" s="1" t="s">
        <v>2176</v>
      </c>
      <c r="CV15" s="1" t="s">
        <v>2177</v>
      </c>
      <c r="CW15" s="1" t="s">
        <v>2178</v>
      </c>
      <c r="CX15" s="1" t="s">
        <v>2179</v>
      </c>
      <c r="CY15" s="1" t="s">
        <v>2180</v>
      </c>
      <c r="CZ15" s="1" t="s">
        <v>2181</v>
      </c>
      <c r="DA15" s="1" t="s">
        <v>2182</v>
      </c>
      <c r="DB15" s="1" t="s">
        <v>2183</v>
      </c>
      <c r="DC15" s="1" t="s">
        <v>2184</v>
      </c>
      <c r="DD15" s="1" t="s">
        <v>2185</v>
      </c>
      <c r="DE15" s="1" t="s">
        <v>2186</v>
      </c>
      <c r="DF15" s="1" t="s">
        <v>2187</v>
      </c>
      <c r="DG15" s="1" t="s">
        <v>2188</v>
      </c>
      <c r="DH15" s="1" t="s">
        <v>2189</v>
      </c>
      <c r="DI15" s="1" t="s">
        <v>2190</v>
      </c>
      <c r="DJ15" s="1" t="s">
        <v>2191</v>
      </c>
      <c r="DK15" s="1" t="s">
        <v>2192</v>
      </c>
      <c r="DL15" s="1" t="s">
        <v>2193</v>
      </c>
      <c r="DM15" s="1" t="s">
        <v>2194</v>
      </c>
      <c r="DN15" s="1" t="s">
        <v>2195</v>
      </c>
      <c r="DO15" s="1" t="s">
        <v>276</v>
      </c>
      <c r="DP15" s="1" t="s">
        <v>277</v>
      </c>
      <c r="DQ15" s="1" t="s">
        <v>2196</v>
      </c>
      <c r="DR15" s="1" t="s">
        <v>2197</v>
      </c>
      <c r="DS15" s="1" t="s">
        <v>2198</v>
      </c>
      <c r="DT15" s="1" t="s">
        <v>2199</v>
      </c>
      <c r="DU15" s="1" t="s">
        <v>2200</v>
      </c>
      <c r="DV15" s="1" t="s">
        <v>2201</v>
      </c>
      <c r="DW15" s="1" t="s">
        <v>2202</v>
      </c>
      <c r="DX15" s="1" t="s">
        <v>2203</v>
      </c>
      <c r="DY15" s="1" t="s">
        <v>2204</v>
      </c>
      <c r="DZ15" s="1" t="s">
        <v>2205</v>
      </c>
      <c r="EA15" s="1" t="s">
        <v>2206</v>
      </c>
      <c r="EB15" s="1" t="s">
        <v>2207</v>
      </c>
      <c r="EC15" s="1" t="s">
        <v>2208</v>
      </c>
      <c r="ED15" s="1" t="s">
        <v>2209</v>
      </c>
      <c r="EE15" s="1" t="s">
        <v>2210</v>
      </c>
      <c r="EF15" s="1" t="s">
        <v>2211</v>
      </c>
      <c r="EG15" s="1" t="s">
        <v>2212</v>
      </c>
      <c r="EH15" s="1" t="s">
        <v>295</v>
      </c>
      <c r="EI15" s="1" t="s">
        <v>2213</v>
      </c>
      <c r="EJ15" s="1" t="s">
        <v>2214</v>
      </c>
      <c r="EK15" s="1" t="s">
        <v>611</v>
      </c>
      <c r="EL15" s="1" t="s">
        <v>611</v>
      </c>
      <c r="EM15" s="1" t="s">
        <v>2215</v>
      </c>
      <c r="EN15" s="1" t="s">
        <v>2216</v>
      </c>
      <c r="EO15" s="1" t="s">
        <v>611</v>
      </c>
      <c r="EP15" s="1" t="s">
        <v>2217</v>
      </c>
      <c r="EQ15" s="1" t="s">
        <v>2218</v>
      </c>
      <c r="ER15" s="1" t="s">
        <v>2219</v>
      </c>
      <c r="ES15" s="1" t="s">
        <v>2220</v>
      </c>
      <c r="ET15" s="1" t="s">
        <v>2221</v>
      </c>
      <c r="EU15" s="1" t="s">
        <v>2222</v>
      </c>
      <c r="EV15" s="1" t="s">
        <v>295</v>
      </c>
      <c r="EW15" s="1" t="s">
        <v>2223</v>
      </c>
      <c r="EX15" s="1" t="s">
        <v>2224</v>
      </c>
      <c r="EY15" s="1" t="s">
        <v>2225</v>
      </c>
      <c r="EZ15" s="1" t="s">
        <v>2226</v>
      </c>
      <c r="FA15" s="1" t="s">
        <v>2227</v>
      </c>
      <c r="FB15" s="1" t="s">
        <v>2228</v>
      </c>
      <c r="FC15" s="1" t="s">
        <v>2229</v>
      </c>
      <c r="FD15" s="1" t="s">
        <v>2230</v>
      </c>
      <c r="FE15" s="1" t="s">
        <v>2231</v>
      </c>
      <c r="FF15" s="1" t="s">
        <v>2232</v>
      </c>
      <c r="FG15" s="1" t="s">
        <v>2233</v>
      </c>
      <c r="FH15" s="1" t="s">
        <v>2234</v>
      </c>
    </row>
    <row r="16" spans="1:164" ht="409.6">
      <c r="A16">
        <v>381</v>
      </c>
      <c r="B16" s="1" t="s">
        <v>2235</v>
      </c>
      <c r="C16" s="1" t="s">
        <v>2236</v>
      </c>
      <c r="D16" s="1" t="s">
        <v>2237</v>
      </c>
      <c r="E16" s="1" t="s">
        <v>2238</v>
      </c>
      <c r="F16" s="1">
        <v>2020</v>
      </c>
      <c r="G16" s="1" t="s">
        <v>2239</v>
      </c>
      <c r="H16" s="1" t="s">
        <v>325</v>
      </c>
      <c r="I16" s="1" t="s">
        <v>2240</v>
      </c>
      <c r="J16" s="6" t="s">
        <v>2241</v>
      </c>
      <c r="K16" s="1" t="s">
        <v>2242</v>
      </c>
      <c r="L16" s="6" t="s">
        <v>2243</v>
      </c>
      <c r="M16" s="1" t="s">
        <v>2244</v>
      </c>
      <c r="N16" s="1" t="s">
        <v>2245</v>
      </c>
      <c r="O16" s="1" t="s">
        <v>2246</v>
      </c>
      <c r="P16" s="1" t="s">
        <v>2247</v>
      </c>
      <c r="Q16" s="1" t="s">
        <v>2248</v>
      </c>
      <c r="R16" s="1" t="s">
        <v>2249</v>
      </c>
      <c r="S16" s="1" t="s">
        <v>2250</v>
      </c>
      <c r="T16" s="1" t="s">
        <v>2251</v>
      </c>
      <c r="U16" s="1" t="s">
        <v>2252</v>
      </c>
      <c r="V16" s="1" t="s">
        <v>2253</v>
      </c>
      <c r="W16" s="1" t="s">
        <v>2254</v>
      </c>
      <c r="X16" s="1" t="s">
        <v>2255</v>
      </c>
      <c r="Y16" s="1" t="s">
        <v>2256</v>
      </c>
      <c r="Z16" s="1" t="s">
        <v>2257</v>
      </c>
      <c r="AA16" s="1" t="s">
        <v>2258</v>
      </c>
      <c r="AB16" s="1" t="s">
        <v>2259</v>
      </c>
      <c r="AC16" s="1" t="s">
        <v>2260</v>
      </c>
      <c r="AD16" s="1" t="s">
        <v>2261</v>
      </c>
      <c r="AE16" s="1" t="s">
        <v>2262</v>
      </c>
      <c r="AF16" s="1" t="s">
        <v>2263</v>
      </c>
      <c r="AG16" s="1" t="s">
        <v>2264</v>
      </c>
      <c r="AH16" s="1" t="s">
        <v>2265</v>
      </c>
      <c r="AI16">
        <v>7.5</v>
      </c>
      <c r="AJ16" s="1" t="s">
        <v>2266</v>
      </c>
      <c r="AK16" s="1" t="s">
        <v>2267</v>
      </c>
      <c r="AL16" s="1" t="s">
        <v>512</v>
      </c>
      <c r="AM16" s="1" t="s">
        <v>2031</v>
      </c>
      <c r="AN16" s="1" t="s">
        <v>2268</v>
      </c>
      <c r="AO16" s="1" t="s">
        <v>2269</v>
      </c>
      <c r="AP16" s="3" t="s">
        <v>2270</v>
      </c>
      <c r="AQ16" s="1" t="s">
        <v>2271</v>
      </c>
      <c r="AR16" s="1" t="s">
        <v>2272</v>
      </c>
      <c r="AS16" s="1" t="s">
        <v>2273</v>
      </c>
      <c r="AT16" s="1" t="s">
        <v>2274</v>
      </c>
      <c r="AU16" s="1" t="s">
        <v>2275</v>
      </c>
      <c r="AV16" s="1" t="s">
        <v>2276</v>
      </c>
      <c r="AW16" s="1" t="s">
        <v>2277</v>
      </c>
      <c r="AX16" s="1" t="s">
        <v>2278</v>
      </c>
      <c r="AY16" s="1" t="s">
        <v>2279</v>
      </c>
      <c r="AZ16" s="1" t="s">
        <v>368</v>
      </c>
      <c r="BA16" s="1" t="s">
        <v>368</v>
      </c>
      <c r="BB16" s="1" t="s">
        <v>368</v>
      </c>
      <c r="BC16" s="1" t="s">
        <v>368</v>
      </c>
      <c r="BD16" s="1" t="s">
        <v>2280</v>
      </c>
      <c r="BE16" s="1" t="s">
        <v>2281</v>
      </c>
      <c r="BF16" s="1" t="s">
        <v>2282</v>
      </c>
      <c r="BG16" s="1" t="s">
        <v>2283</v>
      </c>
      <c r="BH16" s="1" t="s">
        <v>2284</v>
      </c>
      <c r="BI16" s="1" t="s">
        <v>2285</v>
      </c>
      <c r="BJ16" s="1" t="s">
        <v>2286</v>
      </c>
      <c r="BK16" s="1" t="s">
        <v>2287</v>
      </c>
      <c r="BL16" s="1" t="s">
        <v>2288</v>
      </c>
      <c r="BM16" s="1" t="s">
        <v>2289</v>
      </c>
      <c r="BN16" s="1" t="s">
        <v>2290</v>
      </c>
      <c r="BO16" s="1" t="s">
        <v>2291</v>
      </c>
      <c r="BP16" s="1" t="s">
        <v>2292</v>
      </c>
      <c r="BQ16" s="1" t="s">
        <v>2293</v>
      </c>
      <c r="BR16" s="1" t="s">
        <v>2294</v>
      </c>
      <c r="BS16" s="1" t="s">
        <v>2295</v>
      </c>
      <c r="BT16" s="1" t="s">
        <v>2296</v>
      </c>
      <c r="BU16" s="1" t="s">
        <v>2297</v>
      </c>
      <c r="BV16" s="1" t="s">
        <v>2298</v>
      </c>
      <c r="BW16" s="1" t="s">
        <v>2299</v>
      </c>
      <c r="BX16" s="1" t="s">
        <v>2300</v>
      </c>
      <c r="BY16" s="1" t="s">
        <v>2301</v>
      </c>
      <c r="BZ16" s="1" t="s">
        <v>2302</v>
      </c>
      <c r="CA16" s="1" t="s">
        <v>2303</v>
      </c>
      <c r="CB16" s="1" t="s">
        <v>2304</v>
      </c>
      <c r="CC16" s="1" t="s">
        <v>2305</v>
      </c>
      <c r="CD16" s="1" t="s">
        <v>2306</v>
      </c>
      <c r="CE16" s="1" t="s">
        <v>2307</v>
      </c>
      <c r="CF16" s="1" t="s">
        <v>2308</v>
      </c>
      <c r="CG16" s="1" t="s">
        <v>2309</v>
      </c>
      <c r="CH16" s="1" t="s">
        <v>2310</v>
      </c>
      <c r="CI16" s="1" t="s">
        <v>2311</v>
      </c>
      <c r="CJ16" s="1" t="s">
        <v>2312</v>
      </c>
      <c r="CK16" s="1" t="s">
        <v>2313</v>
      </c>
      <c r="CL16" s="1" t="s">
        <v>2314</v>
      </c>
      <c r="CM16" s="1" t="s">
        <v>2315</v>
      </c>
      <c r="CN16" s="1" t="s">
        <v>2316</v>
      </c>
      <c r="CO16" s="1" t="s">
        <v>2317</v>
      </c>
      <c r="CP16" s="1" t="s">
        <v>2318</v>
      </c>
      <c r="CQ16" s="1" t="s">
        <v>2319</v>
      </c>
      <c r="CR16" s="1" t="s">
        <v>2320</v>
      </c>
      <c r="CS16" s="1" t="s">
        <v>2321</v>
      </c>
      <c r="CT16" s="1" t="s">
        <v>2322</v>
      </c>
      <c r="CU16" s="1" t="s">
        <v>2323</v>
      </c>
      <c r="CV16" s="1" t="s">
        <v>2324</v>
      </c>
      <c r="CW16" s="1" t="s">
        <v>2325</v>
      </c>
      <c r="CX16" s="1" t="s">
        <v>2326</v>
      </c>
      <c r="CY16" s="1" t="s">
        <v>2327</v>
      </c>
      <c r="CZ16" s="1" t="s">
        <v>2328</v>
      </c>
      <c r="DA16" s="1" t="s">
        <v>2329</v>
      </c>
      <c r="DB16" s="1" t="s">
        <v>2330</v>
      </c>
      <c r="DC16" s="1" t="s">
        <v>2331</v>
      </c>
      <c r="DD16" s="1" t="s">
        <v>2332</v>
      </c>
      <c r="DE16" s="1" t="s">
        <v>2333</v>
      </c>
      <c r="DF16" s="1" t="s">
        <v>2334</v>
      </c>
      <c r="DG16" s="1" t="s">
        <v>2335</v>
      </c>
      <c r="DH16" s="1" t="s">
        <v>2336</v>
      </c>
      <c r="DI16" s="1" t="s">
        <v>2337</v>
      </c>
      <c r="DJ16" s="1" t="s">
        <v>2338</v>
      </c>
      <c r="DK16" s="1" t="s">
        <v>2339</v>
      </c>
      <c r="DL16" s="1" t="s">
        <v>2340</v>
      </c>
      <c r="DM16" s="1" t="s">
        <v>2341</v>
      </c>
      <c r="DN16" s="1" t="s">
        <v>2342</v>
      </c>
      <c r="DO16" s="1" t="s">
        <v>2343</v>
      </c>
      <c r="DP16" s="1" t="s">
        <v>2344</v>
      </c>
      <c r="DQ16" s="1" t="s">
        <v>2345</v>
      </c>
      <c r="DR16" s="1" t="s">
        <v>2346</v>
      </c>
      <c r="DS16" s="1" t="s">
        <v>2347</v>
      </c>
      <c r="DT16" s="1" t="s">
        <v>2348</v>
      </c>
      <c r="DU16" s="1" t="s">
        <v>2349</v>
      </c>
      <c r="DV16" s="1" t="s">
        <v>2350</v>
      </c>
      <c r="DW16" s="1" t="s">
        <v>2351</v>
      </c>
      <c r="DX16" s="1" t="s">
        <v>2352</v>
      </c>
      <c r="DY16" s="1" t="s">
        <v>2353</v>
      </c>
      <c r="DZ16" s="1" t="s">
        <v>2354</v>
      </c>
      <c r="EA16" s="1" t="s">
        <v>2355</v>
      </c>
      <c r="EB16" s="1" t="s">
        <v>2356</v>
      </c>
      <c r="EC16" s="1" t="s">
        <v>2357</v>
      </c>
      <c r="ED16" s="1" t="s">
        <v>2358</v>
      </c>
      <c r="EE16" s="1" t="s">
        <v>2359</v>
      </c>
      <c r="EF16" s="1" t="s">
        <v>2360</v>
      </c>
      <c r="EG16" s="1" t="s">
        <v>2361</v>
      </c>
      <c r="EH16" s="1" t="s">
        <v>2362</v>
      </c>
      <c r="EI16" s="1" t="s">
        <v>2363</v>
      </c>
      <c r="EJ16" s="1" t="s">
        <v>2364</v>
      </c>
      <c r="EK16" s="1" t="s">
        <v>2365</v>
      </c>
      <c r="EL16" s="1" t="s">
        <v>2366</v>
      </c>
      <c r="EM16" s="1" t="s">
        <v>2367</v>
      </c>
      <c r="EN16" s="1" t="s">
        <v>2368</v>
      </c>
      <c r="EO16" s="1" t="s">
        <v>2369</v>
      </c>
      <c r="EP16" s="1" t="s">
        <v>2370</v>
      </c>
      <c r="EQ16" s="1" t="s">
        <v>2371</v>
      </c>
      <c r="ER16" s="1" t="s">
        <v>2372</v>
      </c>
      <c r="ES16" s="1" t="s">
        <v>2373</v>
      </c>
      <c r="ET16" s="1" t="s">
        <v>2374</v>
      </c>
      <c r="EU16" s="1" t="s">
        <v>2375</v>
      </c>
      <c r="EV16" s="1" t="s">
        <v>2376</v>
      </c>
      <c r="EW16" s="1" t="s">
        <v>2377</v>
      </c>
      <c r="EX16" s="1" t="s">
        <v>2378</v>
      </c>
      <c r="EY16" s="1" t="s">
        <v>2379</v>
      </c>
      <c r="EZ16" s="1" t="s">
        <v>2380</v>
      </c>
      <c r="FA16" s="1" t="s">
        <v>2381</v>
      </c>
      <c r="FB16" s="1" t="s">
        <v>2382</v>
      </c>
      <c r="FC16" s="1" t="s">
        <v>2383</v>
      </c>
      <c r="FD16" s="1" t="s">
        <v>2384</v>
      </c>
      <c r="FE16" s="1" t="s">
        <v>2385</v>
      </c>
      <c r="FF16" s="1" t="s">
        <v>2386</v>
      </c>
      <c r="FG16" s="1" t="s">
        <v>2387</v>
      </c>
      <c r="FH16" s="1" t="s">
        <v>2388</v>
      </c>
    </row>
    <row r="17" spans="1:164">
      <c r="A17">
        <v>382</v>
      </c>
      <c r="B17" t="s">
        <v>2389</v>
      </c>
      <c r="C17" t="s">
        <v>2390</v>
      </c>
      <c r="D17" t="s">
        <v>2391</v>
      </c>
      <c r="E17" t="s">
        <v>2392</v>
      </c>
      <c r="F17">
        <v>2010</v>
      </c>
      <c r="G17" t="s">
        <v>2393</v>
      </c>
      <c r="H17" t="s">
        <v>2394</v>
      </c>
      <c r="I17" t="s">
        <v>2395</v>
      </c>
      <c r="J17" s="9" t="s">
        <v>2396</v>
      </c>
      <c r="K17">
        <v>15</v>
      </c>
      <c r="L17" s="9" t="s">
        <v>2397</v>
      </c>
      <c r="M17">
        <v>4000</v>
      </c>
      <c r="N17" t="s">
        <v>2398</v>
      </c>
      <c r="O17" t="s">
        <v>2399</v>
      </c>
      <c r="P17" t="s">
        <v>2400</v>
      </c>
      <c r="Q17" t="s">
        <v>2401</v>
      </c>
      <c r="R17" t="s">
        <v>2402</v>
      </c>
      <c r="S17" t="s">
        <v>2403</v>
      </c>
      <c r="T17" t="s">
        <v>2404</v>
      </c>
      <c r="U17" t="s">
        <v>2405</v>
      </c>
      <c r="V17" t="s">
        <v>2406</v>
      </c>
      <c r="W17" t="s">
        <v>2407</v>
      </c>
      <c r="X17" t="s">
        <v>2408</v>
      </c>
      <c r="Y17" t="s">
        <v>2409</v>
      </c>
      <c r="Z17" t="s">
        <v>2410</v>
      </c>
      <c r="AA17" t="s">
        <v>2411</v>
      </c>
      <c r="AB17" t="s">
        <v>2412</v>
      </c>
      <c r="AC17" t="s">
        <v>2413</v>
      </c>
      <c r="AD17" t="s">
        <v>2414</v>
      </c>
      <c r="AE17" t="s">
        <v>2415</v>
      </c>
      <c r="AF17" t="s">
        <v>2416</v>
      </c>
      <c r="AG17" t="s">
        <v>2417</v>
      </c>
      <c r="AH17" t="s">
        <v>2418</v>
      </c>
      <c r="AI17">
        <v>9</v>
      </c>
      <c r="AJ17" t="s">
        <v>2419</v>
      </c>
      <c r="AK17" t="s">
        <v>2420</v>
      </c>
      <c r="AL17" t="s">
        <v>2421</v>
      </c>
      <c r="AM17" t="s">
        <v>198</v>
      </c>
      <c r="AN17" t="s">
        <v>2422</v>
      </c>
      <c r="AO17" t="s">
        <v>2423</v>
      </c>
      <c r="AP17" s="3" t="s">
        <v>2424</v>
      </c>
      <c r="AQ17" t="s">
        <v>2425</v>
      </c>
      <c r="AR17" t="s">
        <v>2426</v>
      </c>
      <c r="AS17" t="s">
        <v>2427</v>
      </c>
      <c r="AT17" t="s">
        <v>2428</v>
      </c>
      <c r="AU17" t="s">
        <v>2429</v>
      </c>
      <c r="AV17" t="s">
        <v>2430</v>
      </c>
      <c r="AW17" t="s">
        <v>2431</v>
      </c>
      <c r="AX17" t="s">
        <v>2432</v>
      </c>
      <c r="AY17" t="s">
        <v>2433</v>
      </c>
      <c r="AZ17" t="s">
        <v>368</v>
      </c>
      <c r="BA17" t="s">
        <v>368</v>
      </c>
      <c r="BB17" t="s">
        <v>368</v>
      </c>
      <c r="BC17" t="s">
        <v>368</v>
      </c>
      <c r="BD17" t="s">
        <v>2434</v>
      </c>
      <c r="BE17" t="s">
        <v>2435</v>
      </c>
      <c r="BF17" t="s">
        <v>2436</v>
      </c>
      <c r="BG17" t="s">
        <v>2437</v>
      </c>
      <c r="BH17" t="s">
        <v>2438</v>
      </c>
      <c r="BI17" t="s">
        <v>2439</v>
      </c>
      <c r="BJ17" t="s">
        <v>2440</v>
      </c>
      <c r="BK17" t="s">
        <v>2441</v>
      </c>
      <c r="BL17" t="s">
        <v>2442</v>
      </c>
      <c r="BM17" t="s">
        <v>2443</v>
      </c>
      <c r="BN17" t="s">
        <v>1450</v>
      </c>
      <c r="BO17" t="s">
        <v>2444</v>
      </c>
      <c r="BP17" t="s">
        <v>2445</v>
      </c>
      <c r="BQ17" t="s">
        <v>2446</v>
      </c>
      <c r="BR17" t="s">
        <v>2447</v>
      </c>
      <c r="BS17" t="s">
        <v>2448</v>
      </c>
      <c r="BT17" t="s">
        <v>2449</v>
      </c>
      <c r="BU17" t="s">
        <v>2450</v>
      </c>
      <c r="BV17" t="s">
        <v>2451</v>
      </c>
      <c r="BW17">
        <v>0.1673611111111111</v>
      </c>
      <c r="BX17" t="s">
        <v>2452</v>
      </c>
      <c r="BY17">
        <v>50</v>
      </c>
      <c r="BZ17" t="s">
        <v>2453</v>
      </c>
      <c r="CA17" t="s">
        <v>552</v>
      </c>
      <c r="CB17" t="s">
        <v>2454</v>
      </c>
      <c r="CC17" t="s">
        <v>2455</v>
      </c>
      <c r="CD17" t="s">
        <v>2456</v>
      </c>
      <c r="CE17" t="s">
        <v>854</v>
      </c>
      <c r="CF17" t="s">
        <v>2457</v>
      </c>
      <c r="CG17" t="s">
        <v>2458</v>
      </c>
      <c r="CH17" t="s">
        <v>2459</v>
      </c>
      <c r="CI17" t="s">
        <v>2460</v>
      </c>
      <c r="CJ17" t="s">
        <v>2461</v>
      </c>
      <c r="CK17" t="s">
        <v>2462</v>
      </c>
      <c r="CL17" t="s">
        <v>2463</v>
      </c>
      <c r="CM17" t="s">
        <v>2464</v>
      </c>
      <c r="CN17" t="s">
        <v>2465</v>
      </c>
      <c r="CO17" t="s">
        <v>2466</v>
      </c>
      <c r="CP17" t="s">
        <v>2467</v>
      </c>
      <c r="CQ17" t="s">
        <v>2468</v>
      </c>
      <c r="CR17" t="s">
        <v>2469</v>
      </c>
      <c r="CS17" t="s">
        <v>2470</v>
      </c>
      <c r="CT17" t="s">
        <v>2471</v>
      </c>
      <c r="CU17" t="s">
        <v>2472</v>
      </c>
      <c r="CV17" t="s">
        <v>2473</v>
      </c>
      <c r="CW17" t="s">
        <v>2474</v>
      </c>
      <c r="CX17" t="s">
        <v>2475</v>
      </c>
      <c r="CY17" t="s">
        <v>2476</v>
      </c>
      <c r="CZ17" t="s">
        <v>2477</v>
      </c>
      <c r="DA17" t="s">
        <v>2478</v>
      </c>
      <c r="DB17" t="s">
        <v>2479</v>
      </c>
      <c r="DC17" t="s">
        <v>2480</v>
      </c>
      <c r="DD17" t="s">
        <v>2481</v>
      </c>
      <c r="DE17" t="s">
        <v>2482</v>
      </c>
      <c r="DF17" t="s">
        <v>2483</v>
      </c>
      <c r="DG17" t="s">
        <v>2484</v>
      </c>
      <c r="DH17" t="s">
        <v>2485</v>
      </c>
      <c r="DI17" t="s">
        <v>2486</v>
      </c>
      <c r="DJ17" t="s">
        <v>611</v>
      </c>
      <c r="DK17" t="s">
        <v>2487</v>
      </c>
      <c r="DL17" t="s">
        <v>2488</v>
      </c>
      <c r="DM17" t="s">
        <v>2489</v>
      </c>
      <c r="DN17" t="s">
        <v>2490</v>
      </c>
      <c r="DO17" t="s">
        <v>2491</v>
      </c>
      <c r="DP17" t="s">
        <v>277</v>
      </c>
      <c r="DQ17" t="s">
        <v>2492</v>
      </c>
      <c r="DR17" t="s">
        <v>2493</v>
      </c>
      <c r="DS17" t="s">
        <v>2494</v>
      </c>
      <c r="DT17" t="s">
        <v>895</v>
      </c>
      <c r="DU17" t="s">
        <v>2495</v>
      </c>
      <c r="DV17" t="s">
        <v>2496</v>
      </c>
      <c r="DW17" t="s">
        <v>2497</v>
      </c>
      <c r="DX17" t="s">
        <v>1358</v>
      </c>
      <c r="DY17" t="s">
        <v>1359</v>
      </c>
      <c r="DZ17" t="s">
        <v>2498</v>
      </c>
      <c r="EA17" t="s">
        <v>1361</v>
      </c>
      <c r="EB17" t="s">
        <v>2499</v>
      </c>
      <c r="EC17" t="s">
        <v>2500</v>
      </c>
      <c r="ED17" t="s">
        <v>2501</v>
      </c>
      <c r="EE17" t="s">
        <v>292</v>
      </c>
      <c r="EF17" t="s">
        <v>2502</v>
      </c>
      <c r="EG17" t="s">
        <v>294</v>
      </c>
      <c r="EH17" t="s">
        <v>295</v>
      </c>
      <c r="EI17" t="s">
        <v>1215</v>
      </c>
      <c r="EJ17" t="s">
        <v>2503</v>
      </c>
      <c r="EK17" t="s">
        <v>298</v>
      </c>
      <c r="EL17" t="s">
        <v>295</v>
      </c>
      <c r="EM17" t="s">
        <v>2504</v>
      </c>
      <c r="EN17" t="s">
        <v>1517</v>
      </c>
      <c r="EO17" t="s">
        <v>611</v>
      </c>
      <c r="EP17" t="s">
        <v>2505</v>
      </c>
      <c r="EQ17" t="s">
        <v>2506</v>
      </c>
      <c r="ER17" t="s">
        <v>2507</v>
      </c>
      <c r="ES17" t="s">
        <v>2508</v>
      </c>
      <c r="ET17" t="s">
        <v>2509</v>
      </c>
      <c r="EU17" t="s">
        <v>2510</v>
      </c>
      <c r="EV17" t="s">
        <v>295</v>
      </c>
      <c r="EW17" t="s">
        <v>2511</v>
      </c>
      <c r="EX17" t="s">
        <v>2512</v>
      </c>
      <c r="EY17" t="s">
        <v>2513</v>
      </c>
      <c r="EZ17" t="s">
        <v>2514</v>
      </c>
      <c r="FA17" t="s">
        <v>2515</v>
      </c>
      <c r="FB17" t="s">
        <v>2516</v>
      </c>
      <c r="FC17" t="s">
        <v>2517</v>
      </c>
      <c r="FD17" t="s">
        <v>2518</v>
      </c>
      <c r="FE17" t="s">
        <v>2519</v>
      </c>
      <c r="FF17" t="s">
        <v>2520</v>
      </c>
      <c r="FG17" t="s">
        <v>2521</v>
      </c>
      <c r="FH17" t="s">
        <v>2522</v>
      </c>
    </row>
    <row r="18" spans="1:164" ht="409.6">
      <c r="A18">
        <v>383</v>
      </c>
      <c r="B18" s="1" t="s">
        <v>2523</v>
      </c>
      <c r="C18" s="1" t="s">
        <v>2524</v>
      </c>
      <c r="D18" s="1" t="s">
        <v>2525</v>
      </c>
      <c r="E18" s="1" t="s">
        <v>2526</v>
      </c>
      <c r="F18" s="1">
        <v>2013</v>
      </c>
      <c r="G18" s="1" t="s">
        <v>2527</v>
      </c>
      <c r="H18" s="1" t="s">
        <v>2528</v>
      </c>
      <c r="I18" s="1" t="s">
        <v>2529</v>
      </c>
      <c r="J18" s="6" t="s">
        <v>2530</v>
      </c>
      <c r="K18" s="1" t="s">
        <v>2531</v>
      </c>
      <c r="L18" s="6" t="s">
        <v>2532</v>
      </c>
      <c r="M18" s="1" t="s">
        <v>2533</v>
      </c>
      <c r="N18" s="1" t="s">
        <v>2534</v>
      </c>
      <c r="O18" s="7">
        <v>0.14000000000000001</v>
      </c>
      <c r="P18" s="1" t="s">
        <v>2535</v>
      </c>
      <c r="Q18" s="1" t="s">
        <v>2536</v>
      </c>
      <c r="R18" s="1" t="s">
        <v>2537</v>
      </c>
      <c r="S18" s="1" t="s">
        <v>2538</v>
      </c>
      <c r="T18" s="1" t="s">
        <v>2539</v>
      </c>
      <c r="U18" s="1" t="s">
        <v>2540</v>
      </c>
      <c r="V18" s="1" t="s">
        <v>2541</v>
      </c>
      <c r="W18" s="1" t="s">
        <v>2542</v>
      </c>
      <c r="X18" s="1" t="s">
        <v>2543</v>
      </c>
      <c r="Y18" s="1" t="s">
        <v>2544</v>
      </c>
      <c r="Z18" s="1" t="s">
        <v>2545</v>
      </c>
      <c r="AA18" s="1" t="s">
        <v>2546</v>
      </c>
      <c r="AB18" s="1" t="s">
        <v>2547</v>
      </c>
      <c r="AC18" s="1" t="s">
        <v>2548</v>
      </c>
      <c r="AD18" s="1" t="s">
        <v>2549</v>
      </c>
      <c r="AE18" s="1" t="s">
        <v>2550</v>
      </c>
      <c r="AF18" s="1" t="s">
        <v>2551</v>
      </c>
      <c r="AG18" s="1" t="s">
        <v>2552</v>
      </c>
      <c r="AH18" s="1" t="s">
        <v>2553</v>
      </c>
      <c r="AI18">
        <v>8.5</v>
      </c>
      <c r="AJ18" s="1" t="s">
        <v>2554</v>
      </c>
      <c r="AK18" s="1" t="s">
        <v>2555</v>
      </c>
      <c r="AL18" s="1" t="s">
        <v>198</v>
      </c>
      <c r="AM18" s="1" t="s">
        <v>2421</v>
      </c>
      <c r="AN18" s="1" t="s">
        <v>2556</v>
      </c>
      <c r="AO18" s="1" t="s">
        <v>2557</v>
      </c>
      <c r="AP18" s="3" t="s">
        <v>2558</v>
      </c>
      <c r="AQ18" s="1" t="s">
        <v>2559</v>
      </c>
      <c r="AR18" s="1" t="s">
        <v>2560</v>
      </c>
      <c r="AS18" s="1" t="s">
        <v>2561</v>
      </c>
      <c r="AT18" s="1" t="s">
        <v>2562</v>
      </c>
      <c r="AU18" s="1" t="s">
        <v>2563</v>
      </c>
      <c r="AV18" s="1" t="s">
        <v>2564</v>
      </c>
      <c r="AW18" s="1" t="s">
        <v>2565</v>
      </c>
      <c r="AX18" s="1" t="s">
        <v>2566</v>
      </c>
      <c r="AY18" s="1">
        <f>1-415-759-25</f>
        <v>-1198</v>
      </c>
      <c r="AZ18" s="1" t="s">
        <v>2567</v>
      </c>
      <c r="BA18" s="1" t="s">
        <v>2568</v>
      </c>
      <c r="BB18" s="1" t="s">
        <v>2569</v>
      </c>
      <c r="BC18" s="1" t="s">
        <v>368</v>
      </c>
      <c r="BD18" s="1" t="s">
        <v>2570</v>
      </c>
      <c r="BE18" s="1" t="s">
        <v>2571</v>
      </c>
      <c r="BF18" s="1" t="s">
        <v>2572</v>
      </c>
      <c r="BG18" s="1" t="s">
        <v>2573</v>
      </c>
      <c r="BH18" s="1" t="s">
        <v>2574</v>
      </c>
      <c r="BI18" s="1" t="s">
        <v>2575</v>
      </c>
      <c r="BJ18" s="1" t="s">
        <v>2576</v>
      </c>
      <c r="BK18" s="1" t="s">
        <v>2577</v>
      </c>
      <c r="BL18" s="1" t="s">
        <v>2578</v>
      </c>
      <c r="BM18" s="1" t="s">
        <v>2579</v>
      </c>
      <c r="BN18" s="1" t="s">
        <v>2580</v>
      </c>
      <c r="BO18" s="1" t="s">
        <v>2581</v>
      </c>
      <c r="BP18" s="1" t="s">
        <v>2582</v>
      </c>
      <c r="BQ18" s="1" t="s">
        <v>2583</v>
      </c>
      <c r="BR18" s="1" t="s">
        <v>2584</v>
      </c>
      <c r="BS18" s="1" t="s">
        <v>2585</v>
      </c>
      <c r="BT18" s="1" t="s">
        <v>2586</v>
      </c>
      <c r="BU18" s="1" t="s">
        <v>2587</v>
      </c>
      <c r="BV18" s="1" t="s">
        <v>2588</v>
      </c>
      <c r="BW18" s="8">
        <v>0.83402777777777781</v>
      </c>
      <c r="BX18" s="1">
        <v>0.05</v>
      </c>
      <c r="BY18" s="1">
        <v>55</v>
      </c>
      <c r="BZ18" s="1" t="s">
        <v>2589</v>
      </c>
      <c r="CA18" s="1" t="s">
        <v>2590</v>
      </c>
      <c r="CB18" s="1" t="s">
        <v>2591</v>
      </c>
      <c r="CC18" s="1">
        <v>1.5</v>
      </c>
      <c r="CD18" s="1" t="s">
        <v>2592</v>
      </c>
      <c r="CE18" s="1" t="s">
        <v>2593</v>
      </c>
      <c r="CF18" s="1" t="s">
        <v>2594</v>
      </c>
      <c r="CG18" s="1" t="s">
        <v>2595</v>
      </c>
      <c r="CH18" s="1" t="s">
        <v>2596</v>
      </c>
      <c r="CI18" s="1" t="s">
        <v>2597</v>
      </c>
      <c r="CJ18" s="1" t="s">
        <v>2598</v>
      </c>
      <c r="CK18" s="1" t="s">
        <v>2599</v>
      </c>
      <c r="CL18" s="1" t="s">
        <v>2600</v>
      </c>
      <c r="CM18" s="1" t="s">
        <v>2601</v>
      </c>
      <c r="CN18" s="1" t="s">
        <v>2602</v>
      </c>
      <c r="CO18" s="1" t="s">
        <v>2603</v>
      </c>
      <c r="CP18" s="1" t="s">
        <v>2604</v>
      </c>
      <c r="CQ18" s="1" t="s">
        <v>2605</v>
      </c>
      <c r="CR18" s="1" t="s">
        <v>2606</v>
      </c>
      <c r="CS18" s="1" t="s">
        <v>2607</v>
      </c>
      <c r="CT18" s="1" t="s">
        <v>2608</v>
      </c>
      <c r="CU18" s="1" t="s">
        <v>2609</v>
      </c>
      <c r="CV18" s="1" t="s">
        <v>2610</v>
      </c>
      <c r="CW18" s="1" t="s">
        <v>2611</v>
      </c>
      <c r="CX18" s="1" t="s">
        <v>2612</v>
      </c>
      <c r="CY18" s="1" t="s">
        <v>2613</v>
      </c>
      <c r="CZ18" s="1" t="s">
        <v>2614</v>
      </c>
      <c r="DA18" s="1" t="s">
        <v>2615</v>
      </c>
      <c r="DB18" s="1" t="s">
        <v>2616</v>
      </c>
      <c r="DC18" s="1" t="s">
        <v>2617</v>
      </c>
      <c r="DD18" s="1" t="s">
        <v>2618</v>
      </c>
      <c r="DE18" s="1" t="s">
        <v>2619</v>
      </c>
      <c r="DF18" s="1" t="s">
        <v>2620</v>
      </c>
      <c r="DG18" s="1" t="s">
        <v>2621</v>
      </c>
      <c r="DH18" s="1" t="s">
        <v>2622</v>
      </c>
      <c r="DI18" s="1" t="s">
        <v>2623</v>
      </c>
      <c r="DJ18" s="1" t="s">
        <v>2624</v>
      </c>
      <c r="DK18" s="1" t="s">
        <v>1040</v>
      </c>
      <c r="DL18" s="1" t="s">
        <v>2625</v>
      </c>
      <c r="DM18" s="1" t="s">
        <v>2626</v>
      </c>
      <c r="DN18" s="1" t="s">
        <v>2627</v>
      </c>
      <c r="DO18" s="1" t="s">
        <v>276</v>
      </c>
      <c r="DP18" s="1" t="s">
        <v>277</v>
      </c>
      <c r="DQ18" s="1" t="s">
        <v>2628</v>
      </c>
      <c r="DR18" s="1" t="s">
        <v>2629</v>
      </c>
      <c r="DS18" s="1" t="s">
        <v>295</v>
      </c>
      <c r="DT18" s="1" t="s">
        <v>2630</v>
      </c>
      <c r="DU18" s="1" t="s">
        <v>2631</v>
      </c>
      <c r="DV18" s="1" t="s">
        <v>2632</v>
      </c>
      <c r="DW18" s="1" t="s">
        <v>2633</v>
      </c>
      <c r="DX18" s="1" t="s">
        <v>1506</v>
      </c>
      <c r="DY18" s="1" t="s">
        <v>2634</v>
      </c>
      <c r="DZ18" s="1" t="s">
        <v>2635</v>
      </c>
      <c r="EA18" s="1" t="s">
        <v>2636</v>
      </c>
      <c r="EB18" s="1" t="s">
        <v>2637</v>
      </c>
      <c r="EC18" s="1" t="s">
        <v>2638</v>
      </c>
      <c r="ED18" s="1" t="s">
        <v>2639</v>
      </c>
      <c r="EE18" s="1" t="s">
        <v>2640</v>
      </c>
      <c r="EF18" s="1" t="s">
        <v>2641</v>
      </c>
      <c r="EG18" s="1" t="s">
        <v>2642</v>
      </c>
      <c r="EH18" s="1" t="s">
        <v>295</v>
      </c>
      <c r="EI18" s="1" t="s">
        <v>2643</v>
      </c>
      <c r="EJ18" s="1" t="s">
        <v>2644</v>
      </c>
      <c r="EK18" s="1" t="s">
        <v>298</v>
      </c>
      <c r="EL18" s="1" t="s">
        <v>2645</v>
      </c>
      <c r="EM18" s="1" t="s">
        <v>2646</v>
      </c>
      <c r="EN18" s="1" t="s">
        <v>1517</v>
      </c>
      <c r="EO18" s="1" t="s">
        <v>611</v>
      </c>
      <c r="EP18" s="1" t="s">
        <v>2647</v>
      </c>
      <c r="EQ18" s="1" t="s">
        <v>2648</v>
      </c>
      <c r="ER18" s="1" t="s">
        <v>2649</v>
      </c>
      <c r="ES18" s="1" t="s">
        <v>2650</v>
      </c>
      <c r="ET18" s="1" t="s">
        <v>2651</v>
      </c>
      <c r="EU18" s="1" t="s">
        <v>2652</v>
      </c>
      <c r="EV18" s="1" t="s">
        <v>295</v>
      </c>
      <c r="EW18" s="1" t="s">
        <v>2653</v>
      </c>
      <c r="EX18" s="1" t="s">
        <v>2654</v>
      </c>
      <c r="EY18" s="1" t="s">
        <v>2655</v>
      </c>
      <c r="EZ18" s="1" t="s">
        <v>2656</v>
      </c>
      <c r="FA18" s="1" t="s">
        <v>2657</v>
      </c>
      <c r="FB18" s="1" t="s">
        <v>2658</v>
      </c>
      <c r="FC18" s="1" t="s">
        <v>2501</v>
      </c>
      <c r="FD18" s="1" t="s">
        <v>2659</v>
      </c>
      <c r="FE18" s="1" t="s">
        <v>2660</v>
      </c>
      <c r="FF18" s="1" t="s">
        <v>2661</v>
      </c>
      <c r="FG18" s="1" t="s">
        <v>2662</v>
      </c>
      <c r="FH18" s="1" t="s">
        <v>2663</v>
      </c>
    </row>
    <row r="19" spans="1:164" ht="409.6">
      <c r="A19">
        <v>384</v>
      </c>
      <c r="B19" s="1" t="s">
        <v>2664</v>
      </c>
      <c r="C19" s="1" t="s">
        <v>2665</v>
      </c>
      <c r="D19" s="5" t="s">
        <v>2666</v>
      </c>
      <c r="E19" s="1" t="s">
        <v>2667</v>
      </c>
      <c r="F19" s="1">
        <v>2018</v>
      </c>
      <c r="G19" s="1" t="s">
        <v>2668</v>
      </c>
      <c r="H19" s="1" t="s">
        <v>325</v>
      </c>
      <c r="I19" s="1" t="s">
        <v>2669</v>
      </c>
      <c r="J19" s="4" t="s">
        <v>2670</v>
      </c>
      <c r="K19" s="1" t="s">
        <v>2671</v>
      </c>
      <c r="L19" s="4" t="s">
        <v>2672</v>
      </c>
      <c r="M19" s="1" t="s">
        <v>2673</v>
      </c>
      <c r="N19" s="1" t="s">
        <v>2674</v>
      </c>
      <c r="O19" s="1" t="s">
        <v>2675</v>
      </c>
      <c r="P19" s="1" t="s">
        <v>2676</v>
      </c>
      <c r="Q19" s="1" t="s">
        <v>2677</v>
      </c>
      <c r="R19" s="1" t="s">
        <v>2678</v>
      </c>
      <c r="S19" s="1" t="s">
        <v>2679</v>
      </c>
      <c r="T19" s="1" t="s">
        <v>2680</v>
      </c>
      <c r="U19" s="1" t="s">
        <v>2681</v>
      </c>
      <c r="V19" s="1" t="s">
        <v>2682</v>
      </c>
      <c r="W19" s="1" t="s">
        <v>2683</v>
      </c>
      <c r="X19" s="1" t="s">
        <v>2684</v>
      </c>
      <c r="Y19" s="1" t="s">
        <v>2685</v>
      </c>
      <c r="Z19" s="1" t="s">
        <v>2686</v>
      </c>
      <c r="AA19" s="1" t="s">
        <v>2687</v>
      </c>
      <c r="AB19" s="1" t="s">
        <v>2688</v>
      </c>
      <c r="AC19" s="1" t="s">
        <v>2689</v>
      </c>
      <c r="AD19" s="1" t="s">
        <v>2690</v>
      </c>
      <c r="AE19" s="1" t="s">
        <v>2691</v>
      </c>
      <c r="AF19" s="1" t="s">
        <v>2692</v>
      </c>
      <c r="AG19" s="1" t="s">
        <v>2693</v>
      </c>
      <c r="AH19" s="1" t="s">
        <v>2694</v>
      </c>
      <c r="AI19">
        <v>6.5</v>
      </c>
      <c r="AJ19" s="1" t="s">
        <v>2695</v>
      </c>
      <c r="AK19" s="1" t="s">
        <v>2696</v>
      </c>
      <c r="AL19" s="1" t="s">
        <v>2697</v>
      </c>
      <c r="AM19" s="1" t="s">
        <v>2698</v>
      </c>
      <c r="AN19" s="1" t="s">
        <v>2699</v>
      </c>
      <c r="AO19" s="1" t="s">
        <v>2700</v>
      </c>
      <c r="AP19" s="3" t="s">
        <v>2701</v>
      </c>
      <c r="AQ19" s="1" t="s">
        <v>2702</v>
      </c>
      <c r="AR19" s="1" t="s">
        <v>2703</v>
      </c>
      <c r="AS19" s="1" t="s">
        <v>2704</v>
      </c>
      <c r="AT19" s="1" t="s">
        <v>2705</v>
      </c>
      <c r="AU19" s="1" t="s">
        <v>2706</v>
      </c>
      <c r="AV19" s="1" t="s">
        <v>2707</v>
      </c>
      <c r="AW19" s="1" t="s">
        <v>2708</v>
      </c>
      <c r="AX19" s="1" t="s">
        <v>2709</v>
      </c>
      <c r="AY19" s="1" t="s">
        <v>1287</v>
      </c>
      <c r="AZ19" s="1" t="s">
        <v>2704</v>
      </c>
      <c r="BA19" s="1" t="s">
        <v>1288</v>
      </c>
      <c r="BB19" s="1" t="s">
        <v>1287</v>
      </c>
      <c r="BC19" s="1" t="s">
        <v>1287</v>
      </c>
      <c r="BD19" s="1" t="s">
        <v>2710</v>
      </c>
      <c r="BE19" s="1" t="s">
        <v>2711</v>
      </c>
      <c r="BF19" s="1" t="s">
        <v>2712</v>
      </c>
      <c r="BG19" s="1" t="s">
        <v>2713</v>
      </c>
      <c r="BH19" s="1" t="s">
        <v>2714</v>
      </c>
      <c r="BI19" s="1" t="s">
        <v>2715</v>
      </c>
      <c r="BJ19" s="1" t="s">
        <v>2716</v>
      </c>
      <c r="BK19" s="1" t="s">
        <v>2717</v>
      </c>
      <c r="BL19" s="1" t="s">
        <v>2718</v>
      </c>
      <c r="BM19" s="1" t="s">
        <v>2719</v>
      </c>
      <c r="BN19" s="1" t="s">
        <v>2720</v>
      </c>
      <c r="BO19" s="1" t="s">
        <v>2721</v>
      </c>
      <c r="BP19" s="1" t="s">
        <v>2722</v>
      </c>
      <c r="BQ19" s="1" t="s">
        <v>2723</v>
      </c>
      <c r="BR19" s="1" t="s">
        <v>2724</v>
      </c>
      <c r="BS19" s="1" t="s">
        <v>2725</v>
      </c>
      <c r="BT19" s="1" t="s">
        <v>2726</v>
      </c>
      <c r="BU19" s="1" t="s">
        <v>2727</v>
      </c>
      <c r="BV19" s="1" t="s">
        <v>2728</v>
      </c>
      <c r="BW19" s="1" t="s">
        <v>2729</v>
      </c>
      <c r="BX19" s="1" t="s">
        <v>2730</v>
      </c>
      <c r="BY19" s="1" t="s">
        <v>2731</v>
      </c>
      <c r="BZ19" s="1" t="s">
        <v>2732</v>
      </c>
      <c r="CA19" s="1" t="s">
        <v>2733</v>
      </c>
      <c r="CB19" s="1" t="s">
        <v>2734</v>
      </c>
      <c r="CC19" s="1" t="s">
        <v>2735</v>
      </c>
      <c r="CD19" s="1" t="s">
        <v>2736</v>
      </c>
      <c r="CE19" s="1" t="s">
        <v>2737</v>
      </c>
      <c r="CF19" s="1" t="s">
        <v>2738</v>
      </c>
      <c r="CG19" s="1" t="s">
        <v>2739</v>
      </c>
      <c r="CH19" s="1" t="s">
        <v>2740</v>
      </c>
      <c r="CI19" s="1" t="s">
        <v>2741</v>
      </c>
      <c r="CJ19" s="1" t="s">
        <v>2742</v>
      </c>
      <c r="CK19" s="1" t="s">
        <v>2743</v>
      </c>
      <c r="CL19" s="1" t="s">
        <v>2744</v>
      </c>
      <c r="CM19" s="1" t="s">
        <v>2745</v>
      </c>
      <c r="CN19" s="1" t="s">
        <v>2746</v>
      </c>
      <c r="CO19" s="1" t="s">
        <v>2747</v>
      </c>
      <c r="CP19" s="1" t="s">
        <v>2748</v>
      </c>
      <c r="CQ19" s="1" t="s">
        <v>2749</v>
      </c>
      <c r="CR19" s="1" t="s">
        <v>2750</v>
      </c>
      <c r="CS19" s="1" t="s">
        <v>2751</v>
      </c>
      <c r="CT19" s="1" t="s">
        <v>2752</v>
      </c>
      <c r="CU19" s="1" t="s">
        <v>2753</v>
      </c>
      <c r="CV19" s="1" t="s">
        <v>2754</v>
      </c>
      <c r="CW19" s="1" t="s">
        <v>2755</v>
      </c>
      <c r="CX19" s="1" t="s">
        <v>2756</v>
      </c>
      <c r="CY19" s="1" t="s">
        <v>2757</v>
      </c>
      <c r="CZ19" s="1" t="s">
        <v>2758</v>
      </c>
      <c r="DA19" s="1" t="s">
        <v>2759</v>
      </c>
      <c r="DB19" s="1" t="s">
        <v>2760</v>
      </c>
      <c r="DC19" s="1" t="s">
        <v>2761</v>
      </c>
      <c r="DD19" s="1" t="s">
        <v>2762</v>
      </c>
      <c r="DE19" s="1" t="s">
        <v>2763</v>
      </c>
      <c r="DF19" s="1" t="s">
        <v>2764</v>
      </c>
      <c r="DG19" s="1" t="s">
        <v>2765</v>
      </c>
      <c r="DH19" s="1" t="s">
        <v>2766</v>
      </c>
      <c r="DI19" s="1" t="s">
        <v>2767</v>
      </c>
      <c r="DJ19" s="1" t="s">
        <v>2768</v>
      </c>
      <c r="DK19" s="1" t="s">
        <v>2769</v>
      </c>
      <c r="DL19" s="1" t="s">
        <v>2770</v>
      </c>
      <c r="DM19" s="1" t="s">
        <v>2771</v>
      </c>
      <c r="DN19" s="1" t="s">
        <v>2772</v>
      </c>
      <c r="DO19" s="1" t="s">
        <v>2773</v>
      </c>
      <c r="DP19" s="1" t="s">
        <v>2774</v>
      </c>
      <c r="DQ19" s="1" t="s">
        <v>2775</v>
      </c>
      <c r="DR19" s="1" t="s">
        <v>2776</v>
      </c>
      <c r="DS19" s="1" t="s">
        <v>2777</v>
      </c>
      <c r="DT19" s="1" t="s">
        <v>2778</v>
      </c>
      <c r="DU19" s="1" t="s">
        <v>2779</v>
      </c>
      <c r="DV19" s="1" t="s">
        <v>2780</v>
      </c>
      <c r="DW19" s="1" t="s">
        <v>2781</v>
      </c>
      <c r="DX19" s="1" t="s">
        <v>2782</v>
      </c>
      <c r="DY19" s="1" t="s">
        <v>2783</v>
      </c>
      <c r="DZ19" s="1" t="s">
        <v>2784</v>
      </c>
      <c r="EA19" s="1" t="s">
        <v>2785</v>
      </c>
      <c r="EB19" s="1" t="s">
        <v>2786</v>
      </c>
      <c r="EC19" s="1" t="s">
        <v>2787</v>
      </c>
      <c r="ED19" s="1" t="s">
        <v>2788</v>
      </c>
      <c r="EE19" s="1" t="s">
        <v>2789</v>
      </c>
      <c r="EF19" s="1" t="s">
        <v>2790</v>
      </c>
      <c r="EG19" s="1" t="s">
        <v>2791</v>
      </c>
      <c r="EH19" s="1" t="s">
        <v>2792</v>
      </c>
      <c r="EI19" s="1" t="s">
        <v>2793</v>
      </c>
      <c r="EJ19" s="1" t="s">
        <v>2794</v>
      </c>
      <c r="EK19" s="1" t="s">
        <v>2795</v>
      </c>
      <c r="EL19" s="1" t="s">
        <v>1515</v>
      </c>
      <c r="EM19" s="1" t="s">
        <v>2796</v>
      </c>
      <c r="EN19" s="1" t="s">
        <v>2797</v>
      </c>
      <c r="EO19" s="1" t="s">
        <v>2798</v>
      </c>
      <c r="EP19" s="1" t="s">
        <v>2799</v>
      </c>
      <c r="EQ19" s="1" t="s">
        <v>323</v>
      </c>
      <c r="ER19" s="1" t="s">
        <v>2800</v>
      </c>
      <c r="ES19" s="1" t="s">
        <v>2801</v>
      </c>
      <c r="ET19" s="1" t="s">
        <v>2802</v>
      </c>
      <c r="EU19" s="1" t="s">
        <v>2803</v>
      </c>
      <c r="EV19" s="1" t="s">
        <v>295</v>
      </c>
      <c r="EW19" s="1" t="s">
        <v>2804</v>
      </c>
      <c r="EX19" s="1" t="s">
        <v>2805</v>
      </c>
      <c r="EY19" s="1" t="s">
        <v>2806</v>
      </c>
      <c r="EZ19" s="1" t="s">
        <v>2807</v>
      </c>
      <c r="FA19" s="1" t="s">
        <v>2808</v>
      </c>
      <c r="FB19" s="1" t="s">
        <v>2809</v>
      </c>
      <c r="FC19" s="1" t="s">
        <v>2810</v>
      </c>
      <c r="FD19" s="1" t="s">
        <v>2811</v>
      </c>
      <c r="FE19" s="1" t="s">
        <v>2812</v>
      </c>
      <c r="FF19" s="1" t="s">
        <v>2813</v>
      </c>
      <c r="FG19" s="1" t="s">
        <v>2814</v>
      </c>
      <c r="FH19" s="1" t="s">
        <v>2815</v>
      </c>
    </row>
    <row r="20" spans="1:164" ht="409.6">
      <c r="A20">
        <v>385</v>
      </c>
      <c r="B20" s="1" t="s">
        <v>2816</v>
      </c>
      <c r="C20" s="1" t="s">
        <v>2817</v>
      </c>
      <c r="D20" s="1" t="s">
        <v>2818</v>
      </c>
      <c r="E20" s="1" t="s">
        <v>2819</v>
      </c>
      <c r="F20" s="1">
        <v>2008</v>
      </c>
      <c r="G20" s="1" t="s">
        <v>2820</v>
      </c>
      <c r="H20" s="1" t="s">
        <v>2821</v>
      </c>
      <c r="I20" s="1" t="s">
        <v>2822</v>
      </c>
      <c r="J20" s="6" t="s">
        <v>2823</v>
      </c>
      <c r="K20" s="1">
        <v>8</v>
      </c>
      <c r="L20" s="6" t="s">
        <v>2824</v>
      </c>
      <c r="M20" s="1" t="s">
        <v>2825</v>
      </c>
      <c r="N20" s="1" t="s">
        <v>2826</v>
      </c>
      <c r="O20" s="1" t="s">
        <v>2827</v>
      </c>
      <c r="P20" s="1" t="s">
        <v>2010</v>
      </c>
      <c r="Q20" s="1" t="s">
        <v>2828</v>
      </c>
      <c r="R20" s="1" t="s">
        <v>2829</v>
      </c>
      <c r="S20" s="1" t="s">
        <v>2830</v>
      </c>
      <c r="T20" s="1" t="s">
        <v>2831</v>
      </c>
      <c r="U20" s="1" t="s">
        <v>2832</v>
      </c>
      <c r="V20" s="1" t="s">
        <v>2833</v>
      </c>
      <c r="W20" s="1" t="s">
        <v>2834</v>
      </c>
      <c r="X20" s="1" t="s">
        <v>2835</v>
      </c>
      <c r="Y20" s="1" t="s">
        <v>2836</v>
      </c>
      <c r="Z20" s="1" t="s">
        <v>2837</v>
      </c>
      <c r="AA20" s="1" t="s">
        <v>2838</v>
      </c>
      <c r="AB20" s="1" t="s">
        <v>2839</v>
      </c>
      <c r="AC20" s="1" t="s">
        <v>2840</v>
      </c>
      <c r="AD20" s="1" t="s">
        <v>2841</v>
      </c>
      <c r="AE20" s="1" t="s">
        <v>2842</v>
      </c>
      <c r="AF20" s="1" t="s">
        <v>2843</v>
      </c>
      <c r="AG20" s="1" t="s">
        <v>2844</v>
      </c>
      <c r="AH20" s="1" t="s">
        <v>2845</v>
      </c>
      <c r="AI20">
        <v>8</v>
      </c>
      <c r="AJ20" s="1" t="s">
        <v>2846</v>
      </c>
      <c r="AK20" s="1" t="s">
        <v>2847</v>
      </c>
      <c r="AL20" s="1" t="s">
        <v>2848</v>
      </c>
      <c r="AM20" s="1" t="s">
        <v>2849</v>
      </c>
      <c r="AN20" s="1" t="s">
        <v>815</v>
      </c>
      <c r="AO20" s="1" t="s">
        <v>2850</v>
      </c>
      <c r="AP20" s="3" t="s">
        <v>2851</v>
      </c>
      <c r="AQ20" s="1" t="s">
        <v>2852</v>
      </c>
      <c r="AR20" s="1" t="s">
        <v>2853</v>
      </c>
      <c r="AS20" s="1" t="s">
        <v>2854</v>
      </c>
      <c r="AT20" s="1" t="s">
        <v>2855</v>
      </c>
      <c r="AU20" s="1" t="s">
        <v>2856</v>
      </c>
      <c r="AV20" s="1" t="s">
        <v>2857</v>
      </c>
      <c r="AW20" s="1" t="s">
        <v>2858</v>
      </c>
      <c r="AX20" s="1" t="s">
        <v>2859</v>
      </c>
      <c r="AY20" s="1" t="s">
        <v>2860</v>
      </c>
      <c r="AZ20" s="1" t="s">
        <v>368</v>
      </c>
      <c r="BA20" s="1" t="s">
        <v>368</v>
      </c>
      <c r="BB20" s="1" t="s">
        <v>368</v>
      </c>
      <c r="BC20" s="1" t="s">
        <v>368</v>
      </c>
      <c r="BD20" s="1" t="s">
        <v>2861</v>
      </c>
      <c r="BE20" s="1" t="s">
        <v>2862</v>
      </c>
      <c r="BF20" s="1" t="s">
        <v>2863</v>
      </c>
      <c r="BG20" s="1" t="s">
        <v>2864</v>
      </c>
      <c r="BH20" s="1" t="s">
        <v>2865</v>
      </c>
      <c r="BI20" s="1" t="s">
        <v>2866</v>
      </c>
      <c r="BJ20" s="1" t="s">
        <v>2867</v>
      </c>
      <c r="BK20" s="1" t="s">
        <v>2868</v>
      </c>
      <c r="BL20" s="1" t="s">
        <v>2869</v>
      </c>
      <c r="BM20" s="1" t="s">
        <v>2870</v>
      </c>
      <c r="BN20" s="1" t="s">
        <v>2871</v>
      </c>
      <c r="BO20" s="1" t="s">
        <v>2872</v>
      </c>
      <c r="BP20" s="1" t="s">
        <v>2873</v>
      </c>
      <c r="BQ20" s="1" t="s">
        <v>2874</v>
      </c>
      <c r="BR20" s="1" t="s">
        <v>2875</v>
      </c>
      <c r="BS20" s="1" t="s">
        <v>2876</v>
      </c>
      <c r="BT20" s="1" t="s">
        <v>2877</v>
      </c>
      <c r="BU20" s="1" t="s">
        <v>2878</v>
      </c>
      <c r="BV20" s="1" t="s">
        <v>2879</v>
      </c>
      <c r="BW20" s="8">
        <v>0.25069444444444444</v>
      </c>
      <c r="BX20" s="1" t="s">
        <v>2880</v>
      </c>
      <c r="BY20" s="1">
        <v>60</v>
      </c>
      <c r="BZ20" s="1" t="s">
        <v>2881</v>
      </c>
      <c r="CA20" s="1" t="s">
        <v>2882</v>
      </c>
      <c r="CB20" s="1" t="s">
        <v>2883</v>
      </c>
      <c r="CC20" s="1" t="s">
        <v>238</v>
      </c>
      <c r="CD20" s="1" t="s">
        <v>2884</v>
      </c>
      <c r="CE20" s="1" t="s">
        <v>2885</v>
      </c>
      <c r="CF20" s="1" t="s">
        <v>2886</v>
      </c>
      <c r="CG20" s="1" t="s">
        <v>2887</v>
      </c>
      <c r="CH20" s="1" t="s">
        <v>2888</v>
      </c>
      <c r="CI20" s="1" t="s">
        <v>2889</v>
      </c>
      <c r="CJ20" s="1" t="s">
        <v>2890</v>
      </c>
      <c r="CK20" s="1" t="s">
        <v>2891</v>
      </c>
      <c r="CL20" s="1" t="s">
        <v>2892</v>
      </c>
      <c r="CM20" s="1" t="s">
        <v>2893</v>
      </c>
      <c r="CN20" s="1" t="s">
        <v>2894</v>
      </c>
      <c r="CO20" s="1" t="s">
        <v>2895</v>
      </c>
      <c r="CP20" s="1" t="s">
        <v>2896</v>
      </c>
      <c r="CQ20" s="1" t="s">
        <v>2897</v>
      </c>
      <c r="CR20" s="1" t="s">
        <v>2898</v>
      </c>
      <c r="CS20" s="1" t="s">
        <v>2899</v>
      </c>
      <c r="CT20" s="1" t="s">
        <v>2900</v>
      </c>
      <c r="CU20" s="1" t="s">
        <v>2901</v>
      </c>
      <c r="CV20" s="1" t="s">
        <v>2902</v>
      </c>
      <c r="CW20" s="1" t="s">
        <v>2903</v>
      </c>
      <c r="CX20" s="1" t="s">
        <v>2904</v>
      </c>
      <c r="CY20" s="1" t="s">
        <v>2905</v>
      </c>
      <c r="CZ20" s="1" t="s">
        <v>2906</v>
      </c>
      <c r="DA20" s="1" t="s">
        <v>2907</v>
      </c>
      <c r="DB20" s="1" t="s">
        <v>2908</v>
      </c>
      <c r="DC20" s="1" t="s">
        <v>2909</v>
      </c>
      <c r="DD20" s="1" t="s">
        <v>2910</v>
      </c>
      <c r="DE20" s="1" t="s">
        <v>2911</v>
      </c>
      <c r="DF20" s="1" t="s">
        <v>2912</v>
      </c>
      <c r="DG20" s="1" t="s">
        <v>2452</v>
      </c>
      <c r="DH20" s="1" t="s">
        <v>2913</v>
      </c>
      <c r="DI20" s="1" t="s">
        <v>2914</v>
      </c>
      <c r="DJ20" s="1" t="s">
        <v>295</v>
      </c>
      <c r="DK20" s="1" t="s">
        <v>2915</v>
      </c>
      <c r="DL20" s="1" t="s">
        <v>2916</v>
      </c>
      <c r="DM20" s="1" t="s">
        <v>2917</v>
      </c>
      <c r="DN20" s="1" t="s">
        <v>2918</v>
      </c>
      <c r="DO20" s="1" t="s">
        <v>295</v>
      </c>
      <c r="DP20" s="1" t="s">
        <v>276</v>
      </c>
      <c r="DQ20" s="1" t="s">
        <v>2919</v>
      </c>
      <c r="DR20" s="1" t="s">
        <v>592</v>
      </c>
      <c r="DS20" s="1" t="s">
        <v>295</v>
      </c>
      <c r="DT20" s="1" t="s">
        <v>2920</v>
      </c>
      <c r="DU20" s="1" t="s">
        <v>2921</v>
      </c>
      <c r="DV20" s="1" t="s">
        <v>2922</v>
      </c>
      <c r="DW20" s="1" t="s">
        <v>2923</v>
      </c>
      <c r="DX20" s="1" t="s">
        <v>2782</v>
      </c>
      <c r="DY20" s="1" t="s">
        <v>2924</v>
      </c>
      <c r="DZ20" s="1" t="s">
        <v>2925</v>
      </c>
      <c r="EA20" s="1" t="s">
        <v>2926</v>
      </c>
      <c r="EB20" s="1" t="s">
        <v>289</v>
      </c>
      <c r="EC20" s="1" t="s">
        <v>2927</v>
      </c>
      <c r="ED20" s="1" t="s">
        <v>2928</v>
      </c>
      <c r="EE20" s="1" t="s">
        <v>2929</v>
      </c>
      <c r="EF20" s="1" t="s">
        <v>2930</v>
      </c>
      <c r="EG20" s="1" t="s">
        <v>2931</v>
      </c>
      <c r="EH20" s="1" t="s">
        <v>295</v>
      </c>
      <c r="EI20" s="1" t="s">
        <v>2932</v>
      </c>
      <c r="EJ20" s="1" t="s">
        <v>2933</v>
      </c>
      <c r="EK20" s="1" t="s">
        <v>298</v>
      </c>
      <c r="EL20" s="1" t="s">
        <v>1674</v>
      </c>
      <c r="EM20" s="1" t="s">
        <v>2934</v>
      </c>
      <c r="EN20" s="1" t="s">
        <v>1517</v>
      </c>
      <c r="EO20" s="1" t="s">
        <v>611</v>
      </c>
      <c r="EP20" s="1" t="s">
        <v>2935</v>
      </c>
      <c r="EQ20" s="1" t="s">
        <v>2936</v>
      </c>
      <c r="ER20" s="1" t="s">
        <v>2937</v>
      </c>
      <c r="ES20" s="1" t="s">
        <v>2938</v>
      </c>
      <c r="ET20" s="1" t="s">
        <v>766</v>
      </c>
      <c r="EU20" s="1" t="s">
        <v>1517</v>
      </c>
      <c r="EV20" s="1" t="s">
        <v>295</v>
      </c>
      <c r="EW20" s="1" t="s">
        <v>2939</v>
      </c>
      <c r="EX20" s="1" t="s">
        <v>2940</v>
      </c>
      <c r="EY20" s="1" t="s">
        <v>2941</v>
      </c>
      <c r="EZ20" s="1" t="s">
        <v>2942</v>
      </c>
      <c r="FA20" s="1" t="s">
        <v>2943</v>
      </c>
      <c r="FB20" s="1" t="s">
        <v>1065</v>
      </c>
      <c r="FC20" s="1" t="s">
        <v>2501</v>
      </c>
      <c r="FD20" s="1" t="s">
        <v>2944</v>
      </c>
      <c r="FE20" s="1" t="s">
        <v>2945</v>
      </c>
      <c r="FF20" s="1" t="s">
        <v>2946</v>
      </c>
      <c r="FG20" s="1" t="s">
        <v>2947</v>
      </c>
      <c r="FH20" s="1" t="s">
        <v>2948</v>
      </c>
    </row>
    <row r="21" spans="1:164" ht="409.6">
      <c r="A21">
        <v>386</v>
      </c>
      <c r="B21" s="1" t="s">
        <v>2949</v>
      </c>
      <c r="C21" s="1" t="s">
        <v>2950</v>
      </c>
      <c r="D21" s="1" t="s">
        <v>2951</v>
      </c>
      <c r="E21" s="1" t="s">
        <v>2952</v>
      </c>
      <c r="F21" s="1">
        <v>2016</v>
      </c>
      <c r="G21" s="1" t="s">
        <v>2953</v>
      </c>
      <c r="H21" s="1" t="s">
        <v>325</v>
      </c>
      <c r="I21" s="1" t="s">
        <v>2954</v>
      </c>
      <c r="J21" s="4" t="s">
        <v>2955</v>
      </c>
      <c r="K21" s="1" t="s">
        <v>2956</v>
      </c>
      <c r="L21" s="4" t="s">
        <v>2957</v>
      </c>
      <c r="M21" s="1" t="s">
        <v>2958</v>
      </c>
      <c r="N21" s="1" t="s">
        <v>2959</v>
      </c>
      <c r="O21" s="1" t="s">
        <v>2960</v>
      </c>
      <c r="P21" s="1" t="s">
        <v>2961</v>
      </c>
      <c r="Q21" s="1" t="s">
        <v>2962</v>
      </c>
      <c r="R21" s="1" t="s">
        <v>2963</v>
      </c>
      <c r="S21" s="1" t="s">
        <v>2964</v>
      </c>
      <c r="T21" s="1" t="s">
        <v>2965</v>
      </c>
      <c r="U21" s="1" t="s">
        <v>2966</v>
      </c>
      <c r="V21" s="1" t="s">
        <v>2967</v>
      </c>
      <c r="W21" s="1" t="s">
        <v>2968</v>
      </c>
      <c r="X21" s="1" t="s">
        <v>2969</v>
      </c>
      <c r="Y21" s="1" t="s">
        <v>2970</v>
      </c>
      <c r="Z21" s="1" t="s">
        <v>2971</v>
      </c>
      <c r="AA21" s="1" t="s">
        <v>2972</v>
      </c>
      <c r="AB21" s="1" t="s">
        <v>2973</v>
      </c>
      <c r="AC21" s="1" t="s">
        <v>2974</v>
      </c>
      <c r="AD21" s="1" t="s">
        <v>2975</v>
      </c>
      <c r="AE21" s="1" t="s">
        <v>2976</v>
      </c>
      <c r="AF21" s="1" t="s">
        <v>2977</v>
      </c>
      <c r="AG21" s="1" t="s">
        <v>2978</v>
      </c>
      <c r="AH21" s="1" t="s">
        <v>2979</v>
      </c>
      <c r="AI21">
        <v>7.8</v>
      </c>
      <c r="AJ21" s="1" t="s">
        <v>2980</v>
      </c>
      <c r="AK21" s="1" t="s">
        <v>2981</v>
      </c>
      <c r="AL21" s="1" t="s">
        <v>813</v>
      </c>
      <c r="AM21" s="1" t="s">
        <v>814</v>
      </c>
      <c r="AN21" s="1" t="s">
        <v>815</v>
      </c>
      <c r="AO21" s="1" t="s">
        <v>2982</v>
      </c>
      <c r="AP21" s="3" t="s">
        <v>2983</v>
      </c>
      <c r="AQ21" s="1" t="s">
        <v>2984</v>
      </c>
      <c r="AR21" s="1" t="s">
        <v>2985</v>
      </c>
      <c r="AS21" s="1" t="s">
        <v>2986</v>
      </c>
      <c r="AT21" s="1" t="s">
        <v>2987</v>
      </c>
      <c r="AU21" s="1" t="s">
        <v>2988</v>
      </c>
      <c r="AV21" s="1" t="s">
        <v>2989</v>
      </c>
      <c r="AW21" s="1" t="s">
        <v>2990</v>
      </c>
      <c r="AX21" s="1" t="s">
        <v>2991</v>
      </c>
      <c r="AY21" s="1">
        <f>1-650-555-100</f>
        <v>-1304</v>
      </c>
      <c r="AZ21" s="1" t="s">
        <v>368</v>
      </c>
      <c r="BA21" s="1" t="s">
        <v>368</v>
      </c>
      <c r="BB21" s="1" t="s">
        <v>368</v>
      </c>
      <c r="BC21" s="1" t="s">
        <v>368</v>
      </c>
      <c r="BD21" s="1" t="s">
        <v>2992</v>
      </c>
      <c r="BE21" s="1" t="s">
        <v>2993</v>
      </c>
      <c r="BF21" s="1" t="s">
        <v>2994</v>
      </c>
      <c r="BG21" s="1" t="s">
        <v>2995</v>
      </c>
      <c r="BH21" s="1" t="s">
        <v>2996</v>
      </c>
      <c r="BI21" s="1" t="s">
        <v>2997</v>
      </c>
      <c r="BJ21" s="1" t="s">
        <v>2998</v>
      </c>
      <c r="BK21" s="1" t="s">
        <v>2999</v>
      </c>
      <c r="BL21" s="1" t="s">
        <v>3000</v>
      </c>
      <c r="BM21" s="1" t="s">
        <v>3001</v>
      </c>
      <c r="BN21" s="1" t="s">
        <v>3002</v>
      </c>
      <c r="BO21" s="1" t="s">
        <v>3003</v>
      </c>
      <c r="BP21" s="1" t="s">
        <v>3004</v>
      </c>
      <c r="BQ21" s="1" t="s">
        <v>3005</v>
      </c>
      <c r="BR21" s="1" t="s">
        <v>3006</v>
      </c>
      <c r="BS21" s="1" t="s">
        <v>3007</v>
      </c>
      <c r="BT21" s="1" t="s">
        <v>3008</v>
      </c>
      <c r="BU21" s="1" t="s">
        <v>611</v>
      </c>
      <c r="BV21" s="1" t="s">
        <v>611</v>
      </c>
      <c r="BW21" s="8">
        <v>4.2361111111111113E-2</v>
      </c>
      <c r="BX21" s="1">
        <v>0.05</v>
      </c>
      <c r="BY21" s="1" t="s">
        <v>3009</v>
      </c>
      <c r="BZ21" s="1" t="s">
        <v>3010</v>
      </c>
      <c r="CA21" s="1" t="s">
        <v>2882</v>
      </c>
      <c r="CB21" s="1" t="s">
        <v>3011</v>
      </c>
      <c r="CC21" s="1" t="s">
        <v>611</v>
      </c>
      <c r="CD21" s="1" t="s">
        <v>3012</v>
      </c>
      <c r="CE21" s="1" t="s">
        <v>3013</v>
      </c>
      <c r="CF21" s="1" t="s">
        <v>3014</v>
      </c>
      <c r="CG21" s="1" t="s">
        <v>3015</v>
      </c>
      <c r="CH21" s="1" t="s">
        <v>3016</v>
      </c>
      <c r="CI21" s="1" t="s">
        <v>3017</v>
      </c>
      <c r="CJ21" s="1" t="s">
        <v>3018</v>
      </c>
      <c r="CK21" s="1" t="s">
        <v>3019</v>
      </c>
      <c r="CL21" s="1" t="s">
        <v>3020</v>
      </c>
      <c r="CM21" s="1" t="s">
        <v>3021</v>
      </c>
      <c r="CN21" s="1" t="s">
        <v>295</v>
      </c>
      <c r="CO21" s="1" t="s">
        <v>3022</v>
      </c>
      <c r="CP21" s="1" t="s">
        <v>3023</v>
      </c>
      <c r="CQ21" s="1" t="s">
        <v>3024</v>
      </c>
      <c r="CR21" s="1" t="s">
        <v>3025</v>
      </c>
      <c r="CS21" s="1" t="s">
        <v>3026</v>
      </c>
      <c r="CT21" s="1" t="s">
        <v>3027</v>
      </c>
      <c r="CU21" s="1" t="s">
        <v>3028</v>
      </c>
      <c r="CV21" s="1" t="s">
        <v>3029</v>
      </c>
      <c r="CW21" s="1" t="s">
        <v>3030</v>
      </c>
      <c r="CX21" s="1" t="s">
        <v>3031</v>
      </c>
      <c r="CY21" s="1" t="s">
        <v>3032</v>
      </c>
      <c r="CZ21" s="1" t="s">
        <v>3033</v>
      </c>
      <c r="DA21" s="1" t="s">
        <v>3034</v>
      </c>
      <c r="DB21" s="1" t="s">
        <v>3035</v>
      </c>
      <c r="DC21" s="1" t="s">
        <v>3036</v>
      </c>
      <c r="DD21" s="1" t="s">
        <v>3037</v>
      </c>
      <c r="DE21" s="1" t="s">
        <v>3038</v>
      </c>
      <c r="DF21" s="1" t="s">
        <v>3039</v>
      </c>
      <c r="DG21" s="1" t="s">
        <v>3040</v>
      </c>
      <c r="DH21" s="1" t="s">
        <v>3041</v>
      </c>
      <c r="DI21" s="1" t="s">
        <v>3042</v>
      </c>
      <c r="DJ21" s="1" t="s">
        <v>295</v>
      </c>
      <c r="DK21" s="1" t="s">
        <v>3043</v>
      </c>
      <c r="DL21" s="1" t="s">
        <v>3044</v>
      </c>
      <c r="DM21" s="1" t="s">
        <v>3045</v>
      </c>
      <c r="DN21" s="1" t="s">
        <v>3046</v>
      </c>
      <c r="DO21" s="1" t="s">
        <v>295</v>
      </c>
      <c r="DP21" s="1" t="s">
        <v>276</v>
      </c>
      <c r="DQ21" s="1" t="s">
        <v>3047</v>
      </c>
      <c r="DR21" s="1" t="s">
        <v>3048</v>
      </c>
      <c r="DS21" s="1" t="s">
        <v>1674</v>
      </c>
      <c r="DT21" s="1" t="s">
        <v>3049</v>
      </c>
      <c r="DU21" s="1" t="s">
        <v>3050</v>
      </c>
      <c r="DV21" s="1" t="s">
        <v>3051</v>
      </c>
      <c r="DW21" s="1" t="s">
        <v>3052</v>
      </c>
      <c r="DX21" s="1" t="s">
        <v>3053</v>
      </c>
      <c r="DY21" s="1" t="s">
        <v>3054</v>
      </c>
      <c r="DZ21" s="1" t="s">
        <v>3055</v>
      </c>
      <c r="EA21" s="1" t="s">
        <v>3056</v>
      </c>
      <c r="EB21" s="1" t="s">
        <v>3057</v>
      </c>
      <c r="EC21" s="1" t="s">
        <v>3058</v>
      </c>
      <c r="ED21" s="1" t="s">
        <v>3059</v>
      </c>
      <c r="EE21" s="1" t="s">
        <v>3060</v>
      </c>
      <c r="EF21" s="1" t="s">
        <v>3061</v>
      </c>
      <c r="EG21" s="1" t="s">
        <v>3062</v>
      </c>
      <c r="EH21" s="1" t="s">
        <v>295</v>
      </c>
      <c r="EI21" s="1" t="s">
        <v>3063</v>
      </c>
      <c r="EJ21" s="1" t="s">
        <v>3064</v>
      </c>
      <c r="EK21" s="1" t="s">
        <v>3065</v>
      </c>
      <c r="EL21" s="1" t="s">
        <v>3066</v>
      </c>
      <c r="EM21" s="1" t="s">
        <v>3067</v>
      </c>
      <c r="EN21" s="1" t="s">
        <v>1517</v>
      </c>
      <c r="EO21" s="1" t="s">
        <v>3068</v>
      </c>
      <c r="EP21" s="1" t="s">
        <v>3069</v>
      </c>
      <c r="EQ21" s="1" t="s">
        <v>3070</v>
      </c>
      <c r="ER21" s="1" t="s">
        <v>3071</v>
      </c>
      <c r="ES21" s="1" t="s">
        <v>3072</v>
      </c>
      <c r="ET21" s="1" t="s">
        <v>3073</v>
      </c>
      <c r="EU21" s="1" t="s">
        <v>1378</v>
      </c>
      <c r="EV21" s="1" t="s">
        <v>295</v>
      </c>
      <c r="EW21" s="1" t="s">
        <v>3074</v>
      </c>
      <c r="EX21" s="1" t="s">
        <v>3075</v>
      </c>
      <c r="EY21" s="1" t="s">
        <v>3076</v>
      </c>
      <c r="EZ21" s="1" t="s">
        <v>3077</v>
      </c>
      <c r="FA21" s="1" t="s">
        <v>3078</v>
      </c>
      <c r="FB21" s="1" t="s">
        <v>3079</v>
      </c>
      <c r="FC21" s="1" t="s">
        <v>3080</v>
      </c>
      <c r="FD21" s="1" t="s">
        <v>3081</v>
      </c>
      <c r="FE21" s="1" t="s">
        <v>3082</v>
      </c>
      <c r="FF21" s="1" t="s">
        <v>3083</v>
      </c>
      <c r="FG21" s="1" t="s">
        <v>3084</v>
      </c>
      <c r="FH21" s="1" t="s">
        <v>3085</v>
      </c>
    </row>
    <row r="22" spans="1:164" ht="409.6">
      <c r="A22">
        <v>387</v>
      </c>
      <c r="B22" s="1" t="s">
        <v>3086</v>
      </c>
      <c r="C22" s="1" t="s">
        <v>3087</v>
      </c>
      <c r="D22" s="1" t="s">
        <v>3088</v>
      </c>
      <c r="E22" s="1" t="s">
        <v>3089</v>
      </c>
      <c r="F22" s="1">
        <v>2014</v>
      </c>
      <c r="G22" s="1" t="s">
        <v>3090</v>
      </c>
      <c r="H22" s="1" t="s">
        <v>325</v>
      </c>
      <c r="I22" s="1" t="s">
        <v>3091</v>
      </c>
      <c r="J22" s="6" t="s">
        <v>3092</v>
      </c>
      <c r="K22" s="1" t="s">
        <v>3093</v>
      </c>
      <c r="L22" s="6" t="s">
        <v>3094</v>
      </c>
      <c r="M22" s="1" t="s">
        <v>3095</v>
      </c>
      <c r="N22" s="1" t="s">
        <v>3096</v>
      </c>
      <c r="O22" s="1" t="s">
        <v>3097</v>
      </c>
      <c r="P22" s="1" t="s">
        <v>3098</v>
      </c>
      <c r="Q22" s="1" t="s">
        <v>3099</v>
      </c>
      <c r="R22" s="1" t="s">
        <v>3100</v>
      </c>
      <c r="S22" s="1" t="s">
        <v>3101</v>
      </c>
      <c r="T22" s="1" t="s">
        <v>3102</v>
      </c>
      <c r="U22" s="1" t="s">
        <v>3103</v>
      </c>
      <c r="V22" s="1" t="s">
        <v>3104</v>
      </c>
      <c r="W22" s="1" t="s">
        <v>3105</v>
      </c>
      <c r="X22" s="1" t="s">
        <v>3106</v>
      </c>
      <c r="Y22" s="1" t="s">
        <v>3107</v>
      </c>
      <c r="Z22" s="1" t="s">
        <v>3108</v>
      </c>
      <c r="AA22" s="1" t="s">
        <v>3109</v>
      </c>
      <c r="AB22" s="1" t="s">
        <v>3110</v>
      </c>
      <c r="AC22" s="1" t="s">
        <v>3111</v>
      </c>
      <c r="AD22" s="1" t="s">
        <v>3112</v>
      </c>
      <c r="AE22" s="1" t="s">
        <v>3113</v>
      </c>
      <c r="AF22" s="1" t="s">
        <v>3114</v>
      </c>
      <c r="AG22" s="1" t="s">
        <v>3115</v>
      </c>
      <c r="AH22" s="1" t="s">
        <v>3116</v>
      </c>
      <c r="AI22">
        <v>6.8</v>
      </c>
      <c r="AJ22" s="1" t="s">
        <v>3117</v>
      </c>
      <c r="AK22" s="1" t="s">
        <v>3118</v>
      </c>
      <c r="AL22" s="1" t="s">
        <v>3119</v>
      </c>
      <c r="AM22" s="1" t="s">
        <v>3120</v>
      </c>
      <c r="AN22" s="1" t="s">
        <v>3121</v>
      </c>
      <c r="AO22" s="1" t="s">
        <v>3122</v>
      </c>
      <c r="AP22" s="3" t="s">
        <v>3123</v>
      </c>
      <c r="AQ22" s="1" t="s">
        <v>3124</v>
      </c>
      <c r="AR22" s="1" t="s">
        <v>3125</v>
      </c>
      <c r="AS22" s="1" t="s">
        <v>3126</v>
      </c>
      <c r="AT22" s="1" t="s">
        <v>3127</v>
      </c>
      <c r="AU22" s="1" t="s">
        <v>3128</v>
      </c>
      <c r="AV22" s="1" t="s">
        <v>3129</v>
      </c>
      <c r="AW22" s="1" t="s">
        <v>3130</v>
      </c>
      <c r="AX22" s="1" t="s">
        <v>3131</v>
      </c>
      <c r="AY22" s="1" t="s">
        <v>3132</v>
      </c>
      <c r="AZ22" s="1" t="s">
        <v>1289</v>
      </c>
      <c r="BA22" s="1" t="s">
        <v>368</v>
      </c>
      <c r="BB22" s="1" t="s">
        <v>368</v>
      </c>
      <c r="BC22" s="1" t="s">
        <v>368</v>
      </c>
      <c r="BD22" s="1" t="s">
        <v>3133</v>
      </c>
      <c r="BE22" s="1" t="s">
        <v>3134</v>
      </c>
      <c r="BF22" s="1" t="s">
        <v>3135</v>
      </c>
      <c r="BG22" s="1" t="s">
        <v>3136</v>
      </c>
      <c r="BH22" s="1" t="s">
        <v>3137</v>
      </c>
      <c r="BI22" s="1" t="s">
        <v>3138</v>
      </c>
      <c r="BJ22" s="1" t="s">
        <v>3139</v>
      </c>
      <c r="BK22" s="1" t="s">
        <v>3140</v>
      </c>
      <c r="BL22" s="1" t="s">
        <v>3141</v>
      </c>
      <c r="BM22" s="1" t="s">
        <v>3142</v>
      </c>
      <c r="BN22" s="1" t="s">
        <v>3143</v>
      </c>
      <c r="BO22" s="1" t="s">
        <v>3144</v>
      </c>
      <c r="BP22" s="1" t="s">
        <v>3145</v>
      </c>
      <c r="BQ22" s="1" t="s">
        <v>3146</v>
      </c>
      <c r="BR22" s="1" t="s">
        <v>3147</v>
      </c>
      <c r="BS22" s="1" t="s">
        <v>3148</v>
      </c>
      <c r="BT22" s="1" t="s">
        <v>3149</v>
      </c>
      <c r="BU22" s="1" t="s">
        <v>3150</v>
      </c>
      <c r="BV22" s="1" t="s">
        <v>3151</v>
      </c>
      <c r="BW22" s="1" t="s">
        <v>3152</v>
      </c>
      <c r="BX22" s="1" t="s">
        <v>3153</v>
      </c>
      <c r="BY22" s="1" t="s">
        <v>3154</v>
      </c>
      <c r="BZ22" s="1" t="s">
        <v>3155</v>
      </c>
      <c r="CA22" s="1" t="s">
        <v>3156</v>
      </c>
      <c r="CB22" s="1" t="s">
        <v>3157</v>
      </c>
      <c r="CC22" s="1" t="s">
        <v>3158</v>
      </c>
      <c r="CD22" s="1" t="s">
        <v>3159</v>
      </c>
      <c r="CE22" s="1" t="s">
        <v>3160</v>
      </c>
      <c r="CF22" s="1" t="s">
        <v>3161</v>
      </c>
      <c r="CG22" s="1" t="s">
        <v>3162</v>
      </c>
      <c r="CH22" s="1" t="s">
        <v>3163</v>
      </c>
      <c r="CI22" s="1" t="s">
        <v>3164</v>
      </c>
      <c r="CJ22" s="1" t="s">
        <v>3165</v>
      </c>
      <c r="CK22" s="1" t="s">
        <v>3166</v>
      </c>
      <c r="CL22" s="1" t="s">
        <v>3167</v>
      </c>
      <c r="CM22" s="1" t="s">
        <v>3168</v>
      </c>
      <c r="CN22" s="1" t="s">
        <v>3169</v>
      </c>
      <c r="CO22" s="1" t="s">
        <v>3170</v>
      </c>
      <c r="CP22" s="1" t="s">
        <v>3171</v>
      </c>
      <c r="CQ22" s="1" t="s">
        <v>3172</v>
      </c>
      <c r="CR22" s="1" t="s">
        <v>3173</v>
      </c>
      <c r="CS22" s="1" t="s">
        <v>3174</v>
      </c>
      <c r="CT22" s="1" t="s">
        <v>3175</v>
      </c>
      <c r="CU22" s="1" t="s">
        <v>3176</v>
      </c>
      <c r="CV22" s="1" t="s">
        <v>3177</v>
      </c>
      <c r="CW22" s="1" t="s">
        <v>3178</v>
      </c>
      <c r="CX22" s="1" t="s">
        <v>3179</v>
      </c>
      <c r="CY22" s="1" t="s">
        <v>3180</v>
      </c>
      <c r="CZ22" s="1" t="s">
        <v>3181</v>
      </c>
      <c r="DA22" s="1" t="s">
        <v>3182</v>
      </c>
      <c r="DB22" s="1" t="s">
        <v>3183</v>
      </c>
      <c r="DC22" s="1" t="s">
        <v>3184</v>
      </c>
      <c r="DD22" s="1" t="s">
        <v>3185</v>
      </c>
      <c r="DE22" s="1" t="s">
        <v>3186</v>
      </c>
      <c r="DF22" s="1" t="s">
        <v>3187</v>
      </c>
      <c r="DG22" s="1" t="s">
        <v>3188</v>
      </c>
      <c r="DH22" s="1" t="s">
        <v>3189</v>
      </c>
      <c r="DI22" s="1" t="s">
        <v>3190</v>
      </c>
      <c r="DJ22" s="1" t="s">
        <v>3191</v>
      </c>
      <c r="DK22" s="1" t="s">
        <v>3192</v>
      </c>
      <c r="DL22" s="1" t="s">
        <v>3193</v>
      </c>
      <c r="DM22" s="1" t="s">
        <v>3194</v>
      </c>
      <c r="DN22" s="1" t="s">
        <v>3195</v>
      </c>
      <c r="DO22" s="1" t="s">
        <v>3196</v>
      </c>
      <c r="DP22" s="1" t="s">
        <v>3197</v>
      </c>
      <c r="DQ22" s="1" t="s">
        <v>3198</v>
      </c>
      <c r="DR22" s="1" t="s">
        <v>3199</v>
      </c>
      <c r="DS22" s="1" t="s">
        <v>3200</v>
      </c>
      <c r="DT22" s="1" t="s">
        <v>3201</v>
      </c>
      <c r="DU22" s="1" t="s">
        <v>3202</v>
      </c>
      <c r="DV22" s="1" t="s">
        <v>3203</v>
      </c>
      <c r="DW22" s="1" t="s">
        <v>3204</v>
      </c>
      <c r="DX22" s="1" t="s">
        <v>3205</v>
      </c>
      <c r="DY22" s="1" t="s">
        <v>3206</v>
      </c>
      <c r="DZ22" s="1" t="s">
        <v>3207</v>
      </c>
      <c r="EA22" s="1" t="s">
        <v>3208</v>
      </c>
      <c r="EB22" s="1" t="s">
        <v>3209</v>
      </c>
      <c r="EC22" s="1" t="s">
        <v>3210</v>
      </c>
      <c r="ED22" s="1" t="s">
        <v>3211</v>
      </c>
      <c r="EE22" s="1" t="s">
        <v>3212</v>
      </c>
      <c r="EF22" s="1" t="s">
        <v>3213</v>
      </c>
      <c r="EG22" s="1" t="s">
        <v>3214</v>
      </c>
      <c r="EH22" s="1" t="s">
        <v>3215</v>
      </c>
      <c r="EI22" s="1" t="s">
        <v>3216</v>
      </c>
      <c r="EJ22" s="1" t="s">
        <v>3217</v>
      </c>
      <c r="EK22" s="1" t="s">
        <v>3218</v>
      </c>
      <c r="EL22" s="1" t="s">
        <v>913</v>
      </c>
      <c r="EM22" s="1" t="s">
        <v>3219</v>
      </c>
      <c r="EN22" s="1" t="s">
        <v>3220</v>
      </c>
      <c r="EO22" s="1" t="s">
        <v>3221</v>
      </c>
      <c r="EP22" s="1" t="s">
        <v>3222</v>
      </c>
      <c r="EQ22" s="1" t="s">
        <v>3223</v>
      </c>
      <c r="ER22" s="1" t="s">
        <v>3224</v>
      </c>
      <c r="ES22" s="1" t="s">
        <v>3225</v>
      </c>
      <c r="ET22" s="1" t="s">
        <v>3226</v>
      </c>
      <c r="EU22" s="1" t="s">
        <v>3227</v>
      </c>
      <c r="EV22" s="1" t="s">
        <v>3228</v>
      </c>
      <c r="EW22" s="1" t="s">
        <v>3229</v>
      </c>
      <c r="EX22" s="1" t="s">
        <v>3230</v>
      </c>
      <c r="EY22" s="1" t="s">
        <v>3231</v>
      </c>
      <c r="EZ22" s="1" t="s">
        <v>3232</v>
      </c>
      <c r="FA22" s="1" t="s">
        <v>3233</v>
      </c>
      <c r="FB22" s="1" t="s">
        <v>3234</v>
      </c>
      <c r="FC22" s="1" t="s">
        <v>3235</v>
      </c>
      <c r="FD22" s="1" t="s">
        <v>3236</v>
      </c>
      <c r="FE22" s="1" t="s">
        <v>3237</v>
      </c>
      <c r="FF22" s="1" t="s">
        <v>3238</v>
      </c>
      <c r="FG22" s="1" t="s">
        <v>3239</v>
      </c>
      <c r="FH22" s="1" t="s">
        <v>3240</v>
      </c>
    </row>
    <row r="23" spans="1:164" ht="409.6">
      <c r="A23">
        <v>388</v>
      </c>
      <c r="B23" s="1" t="s">
        <v>3241</v>
      </c>
      <c r="C23" s="1" t="s">
        <v>3242</v>
      </c>
      <c r="D23" s="1" t="s">
        <v>3243</v>
      </c>
      <c r="E23" s="1" t="s">
        <v>3244</v>
      </c>
      <c r="F23" s="1">
        <v>2011</v>
      </c>
      <c r="G23" s="1" t="s">
        <v>3245</v>
      </c>
      <c r="H23" s="1" t="s">
        <v>3246</v>
      </c>
      <c r="I23" s="1" t="s">
        <v>3091</v>
      </c>
      <c r="J23" s="4" t="s">
        <v>3247</v>
      </c>
      <c r="K23" s="1" t="s">
        <v>3248</v>
      </c>
      <c r="L23" s="4" t="s">
        <v>3249</v>
      </c>
      <c r="M23" s="1" t="s">
        <v>3250</v>
      </c>
      <c r="N23" s="1" t="s">
        <v>3251</v>
      </c>
      <c r="O23" s="1" t="s">
        <v>3252</v>
      </c>
      <c r="P23" s="1" t="s">
        <v>3253</v>
      </c>
      <c r="Q23" s="1" t="s">
        <v>3254</v>
      </c>
      <c r="R23" s="1" t="s">
        <v>3255</v>
      </c>
      <c r="S23" s="1" t="s">
        <v>3256</v>
      </c>
      <c r="T23" s="1" t="s">
        <v>3257</v>
      </c>
      <c r="U23" s="1" t="s">
        <v>3258</v>
      </c>
      <c r="V23" s="1" t="s">
        <v>3259</v>
      </c>
      <c r="W23" s="1" t="s">
        <v>3260</v>
      </c>
      <c r="X23" s="1" t="s">
        <v>3261</v>
      </c>
      <c r="Y23" s="1" t="s">
        <v>3262</v>
      </c>
      <c r="Z23" s="1" t="s">
        <v>3263</v>
      </c>
      <c r="AA23" s="1" t="s">
        <v>3264</v>
      </c>
      <c r="AB23" s="1" t="s">
        <v>3265</v>
      </c>
      <c r="AC23" s="1" t="s">
        <v>3266</v>
      </c>
      <c r="AD23" s="1" t="s">
        <v>3267</v>
      </c>
      <c r="AE23" s="1" t="s">
        <v>3268</v>
      </c>
      <c r="AF23" s="1" t="s">
        <v>3269</v>
      </c>
      <c r="AG23" s="1" t="s">
        <v>3115</v>
      </c>
      <c r="AH23" s="1" t="s">
        <v>3270</v>
      </c>
      <c r="AI23">
        <v>8.1999999999999993</v>
      </c>
      <c r="AJ23" s="1" t="s">
        <v>3271</v>
      </c>
      <c r="AK23" s="1" t="s">
        <v>3272</v>
      </c>
      <c r="AL23" s="1" t="s">
        <v>3273</v>
      </c>
      <c r="AM23" s="1" t="s">
        <v>814</v>
      </c>
      <c r="AN23" s="1" t="s">
        <v>3274</v>
      </c>
      <c r="AO23" s="1" t="s">
        <v>3275</v>
      </c>
      <c r="AP23" s="3" t="s">
        <v>3276</v>
      </c>
      <c r="AQ23" s="1" t="s">
        <v>3277</v>
      </c>
      <c r="AR23" s="1" t="s">
        <v>3278</v>
      </c>
      <c r="AS23" s="1" t="s">
        <v>3279</v>
      </c>
      <c r="AT23" s="5" t="s">
        <v>3280</v>
      </c>
      <c r="AU23" s="1" t="s">
        <v>3281</v>
      </c>
      <c r="AV23" s="1" t="s">
        <v>3282</v>
      </c>
      <c r="AW23" s="1" t="s">
        <v>3283</v>
      </c>
      <c r="AX23" s="1" t="s">
        <v>3284</v>
      </c>
      <c r="AY23" s="1" t="s">
        <v>3285</v>
      </c>
      <c r="AZ23" s="1" t="s">
        <v>3286</v>
      </c>
      <c r="BA23" s="1" t="s">
        <v>3287</v>
      </c>
      <c r="BB23" s="1" t="s">
        <v>3288</v>
      </c>
      <c r="BC23" s="1" t="s">
        <v>368</v>
      </c>
      <c r="BD23" s="1" t="s">
        <v>3289</v>
      </c>
      <c r="BE23" s="1" t="s">
        <v>3290</v>
      </c>
      <c r="BF23" s="1" t="s">
        <v>3291</v>
      </c>
      <c r="BG23" s="1" t="s">
        <v>3292</v>
      </c>
      <c r="BH23" s="1" t="s">
        <v>3293</v>
      </c>
      <c r="BI23" s="1" t="s">
        <v>3294</v>
      </c>
      <c r="BJ23" s="1" t="s">
        <v>3295</v>
      </c>
      <c r="BK23" s="1" t="s">
        <v>3296</v>
      </c>
      <c r="BL23" s="1" t="s">
        <v>3297</v>
      </c>
      <c r="BM23" s="1" t="s">
        <v>3298</v>
      </c>
      <c r="BN23" s="1" t="s">
        <v>3299</v>
      </c>
      <c r="BO23" s="1" t="s">
        <v>3300</v>
      </c>
      <c r="BP23" s="1" t="s">
        <v>3301</v>
      </c>
      <c r="BQ23" s="1" t="s">
        <v>3302</v>
      </c>
      <c r="BR23" s="1" t="s">
        <v>3303</v>
      </c>
      <c r="BS23" s="1" t="s">
        <v>3304</v>
      </c>
      <c r="BT23" s="1" t="s">
        <v>3305</v>
      </c>
      <c r="BU23" s="1" t="s">
        <v>3306</v>
      </c>
      <c r="BV23" s="1" t="s">
        <v>3307</v>
      </c>
      <c r="BW23" s="1" t="s">
        <v>3308</v>
      </c>
      <c r="BX23" s="1" t="s">
        <v>3309</v>
      </c>
      <c r="BY23" s="1" t="s">
        <v>3310</v>
      </c>
      <c r="BZ23" s="1" t="s">
        <v>3311</v>
      </c>
      <c r="CA23" s="1" t="s">
        <v>3312</v>
      </c>
      <c r="CB23" s="1" t="s">
        <v>3313</v>
      </c>
      <c r="CC23" s="1" t="s">
        <v>3314</v>
      </c>
      <c r="CD23" s="1" t="s">
        <v>3315</v>
      </c>
      <c r="CE23" s="1" t="s">
        <v>3316</v>
      </c>
      <c r="CF23" s="1" t="s">
        <v>3317</v>
      </c>
      <c r="CG23" s="1" t="s">
        <v>3318</v>
      </c>
      <c r="CH23" s="1" t="s">
        <v>3319</v>
      </c>
      <c r="CI23" s="1" t="s">
        <v>3320</v>
      </c>
      <c r="CJ23" s="1" t="s">
        <v>3321</v>
      </c>
      <c r="CK23" s="1" t="s">
        <v>3322</v>
      </c>
      <c r="CL23" s="1" t="s">
        <v>3323</v>
      </c>
      <c r="CM23" s="1" t="s">
        <v>3324</v>
      </c>
      <c r="CN23" s="1" t="s">
        <v>3325</v>
      </c>
      <c r="CO23" s="1" t="s">
        <v>3326</v>
      </c>
      <c r="CP23" s="1" t="s">
        <v>3327</v>
      </c>
      <c r="CQ23" s="1" t="s">
        <v>3328</v>
      </c>
      <c r="CR23" s="1" t="s">
        <v>3329</v>
      </c>
      <c r="CS23" s="1" t="s">
        <v>3330</v>
      </c>
      <c r="CT23" s="1" t="s">
        <v>3331</v>
      </c>
      <c r="CU23" s="1" t="s">
        <v>3332</v>
      </c>
      <c r="CV23" s="1" t="s">
        <v>3333</v>
      </c>
      <c r="CW23" s="1" t="s">
        <v>3334</v>
      </c>
      <c r="CX23" s="1" t="s">
        <v>3335</v>
      </c>
      <c r="CY23" s="1" t="s">
        <v>3336</v>
      </c>
      <c r="CZ23" s="1" t="s">
        <v>3337</v>
      </c>
      <c r="DA23" s="1" t="s">
        <v>3338</v>
      </c>
      <c r="DB23" s="1" t="s">
        <v>3183</v>
      </c>
      <c r="DC23" s="1" t="s">
        <v>3339</v>
      </c>
      <c r="DD23" s="1" t="s">
        <v>3340</v>
      </c>
      <c r="DE23" s="1" t="s">
        <v>3341</v>
      </c>
      <c r="DF23" s="1" t="s">
        <v>3342</v>
      </c>
      <c r="DG23" s="1" t="s">
        <v>3343</v>
      </c>
      <c r="DH23" s="1" t="s">
        <v>3344</v>
      </c>
      <c r="DI23" s="1" t="s">
        <v>3345</v>
      </c>
      <c r="DJ23" s="1" t="s">
        <v>295</v>
      </c>
      <c r="DK23" s="1" t="s">
        <v>3346</v>
      </c>
      <c r="DL23" s="1" t="s">
        <v>3347</v>
      </c>
      <c r="DM23" s="1" t="s">
        <v>3348</v>
      </c>
      <c r="DN23" s="1" t="s">
        <v>3349</v>
      </c>
      <c r="DO23" s="1" t="s">
        <v>276</v>
      </c>
      <c r="DP23" s="1" t="s">
        <v>3350</v>
      </c>
      <c r="DQ23" s="1" t="s">
        <v>3351</v>
      </c>
      <c r="DR23" s="1" t="s">
        <v>3352</v>
      </c>
      <c r="DS23" s="1" t="s">
        <v>3353</v>
      </c>
      <c r="DT23" s="1" t="s">
        <v>3354</v>
      </c>
      <c r="DU23" s="1" t="s">
        <v>3355</v>
      </c>
      <c r="DV23" s="1" t="s">
        <v>3356</v>
      </c>
      <c r="DW23" s="1" t="s">
        <v>3357</v>
      </c>
      <c r="DX23" s="1" t="s">
        <v>3358</v>
      </c>
      <c r="DY23" s="1" t="s">
        <v>3359</v>
      </c>
      <c r="DZ23" s="1" t="s">
        <v>3360</v>
      </c>
      <c r="EA23" s="1" t="s">
        <v>3361</v>
      </c>
      <c r="EB23" s="1" t="s">
        <v>3362</v>
      </c>
      <c r="EC23" s="1" t="s">
        <v>3363</v>
      </c>
      <c r="ED23" s="1" t="s">
        <v>3364</v>
      </c>
      <c r="EE23" s="1" t="s">
        <v>3365</v>
      </c>
      <c r="EF23" s="1" t="s">
        <v>3366</v>
      </c>
      <c r="EG23" s="1" t="s">
        <v>3367</v>
      </c>
      <c r="EH23" s="1" t="s">
        <v>295</v>
      </c>
      <c r="EI23" s="1" t="s">
        <v>3368</v>
      </c>
      <c r="EJ23" s="1" t="s">
        <v>3369</v>
      </c>
      <c r="EK23" s="1" t="s">
        <v>3370</v>
      </c>
      <c r="EL23" s="1" t="s">
        <v>3371</v>
      </c>
      <c r="EM23" s="1" t="s">
        <v>3372</v>
      </c>
      <c r="EN23" s="1" t="s">
        <v>3373</v>
      </c>
      <c r="EO23" s="1" t="s">
        <v>3374</v>
      </c>
      <c r="EP23" s="1" t="s">
        <v>3375</v>
      </c>
      <c r="EQ23" s="1" t="s">
        <v>3376</v>
      </c>
      <c r="ER23" s="1" t="s">
        <v>3377</v>
      </c>
      <c r="ES23" s="1" t="s">
        <v>3378</v>
      </c>
      <c r="ET23" s="1" t="s">
        <v>3379</v>
      </c>
      <c r="EU23" s="1" t="s">
        <v>3380</v>
      </c>
      <c r="EV23" s="1" t="s">
        <v>295</v>
      </c>
      <c r="EW23" s="1" t="s">
        <v>3381</v>
      </c>
      <c r="EX23" s="1" t="s">
        <v>3382</v>
      </c>
      <c r="EY23" s="1" t="s">
        <v>3367</v>
      </c>
      <c r="EZ23" s="1" t="s">
        <v>3333</v>
      </c>
      <c r="FA23" s="1" t="s">
        <v>3383</v>
      </c>
      <c r="FB23" s="1" t="s">
        <v>3384</v>
      </c>
      <c r="FC23" s="1" t="s">
        <v>3385</v>
      </c>
      <c r="FD23" s="1" t="s">
        <v>3386</v>
      </c>
      <c r="FE23" s="1" t="s">
        <v>3387</v>
      </c>
      <c r="FF23" s="1" t="s">
        <v>3388</v>
      </c>
      <c r="FG23" s="1" t="s">
        <v>3389</v>
      </c>
      <c r="FH23" s="1" t="s">
        <v>3390</v>
      </c>
    </row>
  </sheetData>
  <hyperlinks>
    <hyperlink ref="D15" r:id="rId1" xr:uid="{40EC3358-F96E-4707-9F9D-B3D78D41D285}"/>
    <hyperlink ref="D19" r:id="rId2" xr:uid="{E48FDC60-D4D3-49F8-8F62-E89B7B3CF360}"/>
    <hyperlink ref="AT23" r:id="rId3" xr:uid="{D835CA55-C19C-4D26-B9EC-3BC0896972A9}"/>
    <hyperlink ref="AT3" r:id="rId4" xr:uid="{02C2952E-0183-415D-99F6-6F46D3F181E4}"/>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2026-04-28T07:04:10Z</dcterms:created>
  <dcterms:modified xsi:type="dcterms:W3CDTF">2026-04-28T07:05:13Z</dcterms:modified>
  <cp:category/>
  <cp:contentStatus/>
</cp:coreProperties>
</file>